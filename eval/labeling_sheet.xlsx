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법" sheetId="1" state="visible" r:id="rId1"/>
    <sheet xmlns:r="http://schemas.openxmlformats.org/officeDocument/2006/relationships" name="라벨링" sheetId="2" state="visible" r:id="rId2"/>
    <sheet xmlns:r="http://schemas.openxmlformats.org/officeDocument/2006/relationships" name="영상목록" sheetId="3" state="visible" r:id="rId3"/>
    <sheet xmlns:r="http://schemas.openxmlformats.org/officeDocument/2006/relationships" name="진행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color rgb="00595959"/>
      <sz val="9"/>
    </font>
    <font>
      <name val="맑은 고딕"/>
      <b val="1"/>
      <color rgb="001F3864"/>
      <sz val="11"/>
    </font>
    <font>
      <name val="맑은 고딕"/>
      <color rgb="00000000"/>
      <sz val="10"/>
    </font>
    <font>
      <name val="맑은 고딕"/>
      <b val="1"/>
      <color rgb="00000000"/>
      <sz val="10"/>
    </font>
    <font>
      <name val="맑은 고딕"/>
      <b val="1"/>
      <color rgb="00C00000"/>
      <sz val="10"/>
    </font>
    <font>
      <name val="맑은 고딕"/>
      <b val="1"/>
      <color rgb="00FFFFFF"/>
      <sz val="10"/>
    </font>
    <font>
      <name val="맑은 고딕"/>
      <color rgb="000563C1"/>
      <sz val="10"/>
      <u val="single"/>
    </font>
    <font>
      <name val="맑은 고딕"/>
      <color rgb="00595959"/>
      <sz val="10"/>
    </font>
    <font>
      <name val="맑은 고딕"/>
      <b val="1"/>
      <color rgb="001F3864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youtube.com/watch?v=PbCq-C9GRzs" TargetMode="External" Id="rId1"/><Relationship Type="http://schemas.openxmlformats.org/officeDocument/2006/relationships/hyperlink" Target="https://www.youtube.com/watch?v=sfPYotqyD18" TargetMode="External" Id="rId2"/><Relationship Type="http://schemas.openxmlformats.org/officeDocument/2006/relationships/hyperlink" Target="https://www.youtube.com/watch?v=Z7z0wW62obE" TargetMode="External" Id="rId3"/><Relationship Type="http://schemas.openxmlformats.org/officeDocument/2006/relationships/hyperlink" Target="https://www.youtube.com/watch?v=Rjfzpzj3bug" TargetMode="External" Id="rId4"/><Relationship Type="http://schemas.openxmlformats.org/officeDocument/2006/relationships/hyperlink" Target="https://www.youtube.com/watch?v=z8QPN-ITUvI" TargetMode="External" Id="rId5"/><Relationship Type="http://schemas.openxmlformats.org/officeDocument/2006/relationships/hyperlink" Target="https://www.youtube.com/watch?v=igP4-Rq5zgM" TargetMode="External" Id="rId6"/><Relationship Type="http://schemas.openxmlformats.org/officeDocument/2006/relationships/hyperlink" Target="https://www.youtube.com/watch?v=Zlo2JQzihwc" TargetMode="External" Id="rId7"/><Relationship Type="http://schemas.openxmlformats.org/officeDocument/2006/relationships/hyperlink" Target="https://www.youtube.com/watch?v=jPqpNbPT7yY" TargetMode="External" Id="rId8"/><Relationship Type="http://schemas.openxmlformats.org/officeDocument/2006/relationships/hyperlink" Target="https://www.youtube.com/watch?v=282ScDPvm28" TargetMode="External" Id="rId9"/><Relationship Type="http://schemas.openxmlformats.org/officeDocument/2006/relationships/hyperlink" Target="https://www.youtube.com/watch?v=sPeEcFdaD0M" TargetMode="External" Id="rId10"/><Relationship Type="http://schemas.openxmlformats.org/officeDocument/2006/relationships/hyperlink" Target="https://www.youtube.com/watch?v=rfkc9X4BItc" TargetMode="External" Id="rId11"/><Relationship Type="http://schemas.openxmlformats.org/officeDocument/2006/relationships/hyperlink" Target="https://www.youtube.com/watch?v=Hwzl8IA9NH0" TargetMode="External" Id="rId12"/><Relationship Type="http://schemas.openxmlformats.org/officeDocument/2006/relationships/hyperlink" Target="https://www.youtube.com/watch?v=11C8XqWobjQ" TargetMode="External" Id="rId13"/><Relationship Type="http://schemas.openxmlformats.org/officeDocument/2006/relationships/hyperlink" Target="https://www.youtube.com/watch?v=iDMyw61V1XM" TargetMode="External" Id="rId14"/><Relationship Type="http://schemas.openxmlformats.org/officeDocument/2006/relationships/hyperlink" Target="https://www.youtube.com/watch?v=l3WthBEFzFw" TargetMode="External" Id="rId15"/><Relationship Type="http://schemas.openxmlformats.org/officeDocument/2006/relationships/hyperlink" Target="https://www.youtube.com/watch?v=4due-wU9NFk" TargetMode="External" Id="rId16"/><Relationship Type="http://schemas.openxmlformats.org/officeDocument/2006/relationships/hyperlink" Target="https://www.youtube.com/watch?v=OgR00HBMKFs" TargetMode="External" Id="rId17"/><Relationship Type="http://schemas.openxmlformats.org/officeDocument/2006/relationships/hyperlink" Target="https://www.youtube.com/watch?v=c5dmr5AQat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2" customWidth="1" min="3" max="3"/>
    <col width="50" customWidth="1" min="4" max="4"/>
  </cols>
  <sheetData>
    <row r="1" ht="24" customHeight="1">
      <c r="A1" s="1" t="inlineStr">
        <is>
          <t>정답 라벨링 작성법</t>
        </is>
      </c>
    </row>
    <row r="2">
      <c r="A2" s="2" t="inlineStr">
        <is>
          <t>이 문서만 읽고 바로 시작할 수 있게 썼습니다. 읽는 데 5분, 영상 1개 라벨링에 5분 정도 걸립니다.</t>
        </is>
      </c>
    </row>
    <row r="4" ht="20" customHeight="1">
      <c r="B4" s="3" t="inlineStr">
        <is>
          <t>이 작업이 무엇인가</t>
        </is>
      </c>
    </row>
    <row r="5" ht="32" customHeight="1">
      <c r="B5" s="4" t="inlineStr"/>
      <c r="C5" s="5" t="inlineStr">
        <is>
          <t>"이 질문의 답은 이 영상 몇 초에서 몇 초 사이에 나온다" 를 사람이 직접 보고 적는 작업입니다.</t>
        </is>
      </c>
    </row>
    <row r="6" ht="32" customHeight="1">
      <c r="B6" s="4" t="inlineStr"/>
      <c r="C6" s="5" t="inlineStr">
        <is>
          <t>우리 검색 시스템이 무엇을 찾았는지는 절대 보지 않습니다. 시스템과 무관하게 정답을 먼저 확정해두는 것이 목적입니다. 그래야 나중에 시스템을 고쳐도 같은 잣대로 성능을 비교할 수 있습니다.</t>
        </is>
      </c>
    </row>
    <row r="8" ht="20" customHeight="1">
      <c r="B8" s="3" t="inlineStr">
        <is>
          <t>시작하기 전에</t>
        </is>
      </c>
    </row>
    <row r="9" ht="16" customHeight="1">
      <c r="B9" s="6" t="inlineStr">
        <is>
          <t>1</t>
        </is>
      </c>
      <c r="C9" s="5" t="inlineStr">
        <is>
          <t>[영상목록] 탭에서 본인이 맡은 영상을 확인합니다.</t>
        </is>
      </c>
    </row>
    <row r="10" ht="32" customHeight="1">
      <c r="B10" s="6" t="inlineStr">
        <is>
          <t>2</t>
        </is>
      </c>
      <c r="C10" s="5" t="inlineStr">
        <is>
          <t>그 영상의 '시청 URL' 을 클릭해 엽니다. shorts 주소가 아니라 watch 주소입니다 — 일반 플레이어로 열려야 타임라인에 마우스를 올렸을 때 초가 보입니다.</t>
        </is>
      </c>
    </row>
    <row r="11" ht="32" customHeight="1">
      <c r="B11" s="6" t="inlineStr">
        <is>
          <t>3</t>
        </is>
      </c>
      <c r="C11" s="5" t="inlineStr">
        <is>
          <t>단축키: 쉼표( , ) 와 마침표( . ) = 한 프레임씩 이동, j / l = 10초씩 이동, k = 일시정지. 정확한 초를 잡을 때 씁니다.</t>
        </is>
      </c>
    </row>
    <row r="12" ht="16" customHeight="1">
      <c r="B12" s="6" t="inlineStr">
        <is>
          <t>4</t>
        </is>
      </c>
      <c r="C12" s="5" t="inlineStr">
        <is>
          <t>[라벨링] 탭 2행의 노란색 예시를 확인하고, 이해했으면 그 줄을 삭제한 뒤 3행부터 채웁니다.</t>
        </is>
      </c>
    </row>
    <row r="14" ht="20" customHeight="1">
      <c r="B14" s="3" t="inlineStr">
        <is>
          <t>라벨링 절차 (질문 1개 기준)</t>
        </is>
      </c>
    </row>
    <row r="15" ht="16" customHeight="1">
      <c r="B15" s="6" t="inlineStr">
        <is>
          <t>1</t>
        </is>
      </c>
      <c r="C15" s="5" t="inlineStr">
        <is>
          <t>질문을 읽습니다.  예: "간장 몇 큰술 넣어?"</t>
        </is>
      </c>
    </row>
    <row r="16" ht="32" customHeight="1">
      <c r="B16" s="6" t="inlineStr">
        <is>
          <t>2</t>
        </is>
      </c>
      <c r="C16" s="5" t="inlineStr">
        <is>
          <t>영상을 보면서 '답이 실제로 나오는 순간' 을 찾습니다. 간장을 계량해서 붓는 장면이 22초에 시작해 26초에 끝났다면 → start 22.0 / end 26.0 / grade 2</t>
        </is>
      </c>
    </row>
    <row r="17" ht="32" customHeight="1">
      <c r="B17" s="6" t="inlineStr">
        <is>
          <t>3</t>
        </is>
      </c>
      <c r="C17" s="5" t="inlineStr">
        <is>
          <t>답은 아니지만 도움이 되는 구간이 있으면 줄을 하나 더 추가해 grade 1 로 적습니다. 예: 직전에 간장병을 꺼내는 18~22초 구간.</t>
        </is>
      </c>
    </row>
    <row r="18" ht="16" customHeight="1">
      <c r="B18" s="6" t="inlineStr">
        <is>
          <t>4</t>
        </is>
      </c>
      <c r="C18" s="5" t="inlineStr">
        <is>
          <t>나머지 구간은 적지 않습니다. 적지 않은 구간은 자동으로 0점(무관) 처리됩니다.</t>
        </is>
      </c>
    </row>
    <row r="19" ht="32" customHeight="1">
      <c r="B19" s="6" t="inlineStr">
        <is>
          <t>5</t>
        </is>
      </c>
      <c r="C19" s="5" t="inlineStr">
        <is>
          <t>답이 영상에 아예 없으면 start/end 를 비우고 grade 에 '없음' 을 적습니다. (아래 '일부러 답 없는 질문' 항목 참고)</t>
        </is>
      </c>
    </row>
    <row r="21" ht="20" customHeight="1">
      <c r="B21" s="3" t="inlineStr">
        <is>
          <t>등급 기준 (grade)</t>
        </is>
      </c>
    </row>
    <row r="22" ht="32" customHeight="1">
      <c r="B22" s="7" t="inlineStr">
        <is>
          <t>2 · 정확</t>
        </is>
      </c>
      <c r="C22" s="5" t="inlineStr">
        <is>
          <t>이 구간만 봐도 질문의 답을 알 수 있다. "이거 하나만 보여줘도 사용자가 만족한다" 수준일 때만 2점을 줍니다.</t>
        </is>
      </c>
    </row>
    <row r="23" ht="16" customHeight="1">
      <c r="B23" s="7" t="inlineStr">
        <is>
          <t>1 · 관련</t>
        </is>
      </c>
      <c r="C23" s="5" t="inlineStr">
        <is>
          <t>답 자체는 아니지만 맥락상 도움이 된다. 준비 동작, 재료 소개, 직후 결과 등.</t>
        </is>
      </c>
    </row>
    <row r="24" ht="16" customHeight="1">
      <c r="B24" s="7" t="inlineStr">
        <is>
          <t>0 · 무관</t>
        </is>
      </c>
      <c r="C24" s="5" t="inlineStr">
        <is>
          <t>나머지 전부. 시트에 적지 않으면 자동으로 0점입니다. 따로 입력하지 마세요.</t>
        </is>
      </c>
    </row>
    <row r="25" ht="16" customHeight="1">
      <c r="B25" s="7" t="inlineStr">
        <is>
          <t>없음</t>
        </is>
      </c>
      <c r="C25" s="5" t="inlineStr">
        <is>
          <t>그 질문의 답이 영상에 존재하지 않는다.</t>
        </is>
      </c>
    </row>
    <row r="27" ht="20" customHeight="1">
      <c r="B27" s="3" t="inlineStr">
        <is>
          <t>판단이 갈릴 때 쓰는 규칙 4가지</t>
        </is>
      </c>
    </row>
    <row r="28" ht="16" customHeight="1">
      <c r="B28" s="6" t="inlineStr">
        <is>
          <t>1</t>
        </is>
      </c>
      <c r="C28" s="5" t="inlineStr">
        <is>
          <t>구간 경계 — 답이 보이거나 들리기 시작하는 순간부터, 끝나는 순간까지. 최소 2초는 잡습니다.</t>
        </is>
      </c>
    </row>
    <row r="29" ht="16" customHeight="1">
      <c r="B29" s="6" t="inlineStr">
        <is>
          <t>2</t>
        </is>
      </c>
      <c r="C29" s="5" t="inlineStr">
        <is>
          <t>애매하면 2 대신 1 을 줍니다. 2점은 확실할 때만.</t>
        </is>
      </c>
    </row>
    <row r="30" ht="16" customHeight="1">
      <c r="B30" s="6" t="inlineStr">
        <is>
          <t>3</t>
        </is>
      </c>
      <c r="C30" s="5" t="inlineStr">
        <is>
          <t>정답 구간이 여러 개면 전부 적습니다. 영상에서 간장을 두 번 넣으면 줄이 두 개가 됩니다.</t>
        </is>
      </c>
    </row>
    <row r="31" ht="16" customHeight="1">
      <c r="B31" s="6" t="inlineStr">
        <is>
          <t>4</t>
        </is>
      </c>
      <c r="C31" s="5" t="inlineStr">
        <is>
          <t>시간은 소수점 첫째 자리까지 적습니다. (예: 22.0, 26.5)</t>
        </is>
      </c>
    </row>
    <row r="33" ht="20" customHeight="1">
      <c r="B33" s="3" t="inlineStr">
        <is>
          <t>일부러 '답 없는 질문' 을 섞으세요   ★ 중요</t>
        </is>
      </c>
    </row>
    <row r="34" ht="32" customHeight="1">
      <c r="B34" s="4" t="inlineStr"/>
      <c r="C34" s="5" t="inlineStr">
        <is>
          <t>전체 질문의 10~15% (45개 기준 5~8개) 는 답이 영상에 없는 질문으로 만듭니다. 예: 설탕이 전혀 안 나오는 영상에 "설탕 얼마나 넣어?" 라는 질문을 붙입니다.</t>
        </is>
      </c>
    </row>
    <row r="35" ht="46" customHeight="1">
      <c r="B35" s="4" t="inlineStr"/>
      <c r="C35" s="5" t="inlineStr">
        <is>
          <t>이유 — 멘토 자문 3번이 "근거가 불충분하면 답변을 생성하지 말고 '관련 장면 없음' 을 안내하라" 인데, 모든 질문에 답이 있으면 그 기능을 시험할 방법이 아예 없습니다. 이 질문들이 임계값 도입의 근거가 됩니다.</t>
        </is>
      </c>
    </row>
    <row r="37" ht="20" customHeight="1">
      <c r="B37" s="3" t="inlineStr">
        <is>
          <t>2명 독립 라벨링 방법</t>
        </is>
      </c>
    </row>
    <row r="38" ht="16" customHeight="1">
      <c r="B38" s="6" t="inlineStr">
        <is>
          <t>1</t>
        </is>
      </c>
      <c r="C38" s="5" t="inlineStr">
        <is>
          <t>이 파일을 2부 복사해 각자 하나씩 가져갑니다. (파일명 뒤에 본인 이름을 붙이세요)</t>
        </is>
      </c>
    </row>
    <row r="39" ht="16" customHeight="1">
      <c r="B39" s="6" t="inlineStr">
        <is>
          <t>2</t>
        </is>
      </c>
      <c r="C39" s="5" t="inlineStr">
        <is>
          <t>같은 질문 목록을 서로 상의하지 않고 각자 채웁니다. 이것이 '독립' 의 전부입니다.</t>
        </is>
      </c>
    </row>
    <row r="40" ht="32" customHeight="1">
      <c r="B40" s="6" t="inlineStr">
        <is>
          <t>3</t>
        </is>
      </c>
      <c r="C40" s="5" t="inlineStr">
        <is>
          <t>다 하면 두 파일을 그대로 제출합니다. labeler 컬럼으로 구분되므로 합치는 것은 신경 쓰지 않아도 됩니다.</t>
        </is>
      </c>
    </row>
    <row r="41" ht="16" customHeight="1">
      <c r="B41" s="6" t="inlineStr">
        <is>
          <t>4</t>
        </is>
      </c>
      <c r="C41" s="5" t="inlineStr">
        <is>
          <t>일치도 계산과 불일치 항목 추출은 자동으로 처리됩니다. 불일치 목록만 받아서 합의하면 됩니다.</t>
        </is>
      </c>
    </row>
    <row r="43" ht="20" customHeight="1">
      <c r="B43" s="3" t="inlineStr">
        <is>
          <t>자주 하는 실수 3가지</t>
        </is>
      </c>
    </row>
    <row r="44" ht="16" customHeight="1">
      <c r="B44" s="8" t="inlineStr">
        <is>
          <t>X</t>
        </is>
      </c>
      <c r="C44" s="5" t="inlineStr">
        <is>
          <t>우리 시스템의 검색 결과를 보고 라벨링한다 → 평가가 무의미해집니다. 영상만 보세요.</t>
        </is>
      </c>
    </row>
    <row r="45" ht="32" customHeight="1">
      <c r="B45" s="8" t="inlineStr">
        <is>
          <t>X</t>
        </is>
      </c>
      <c r="C45" s="5" t="inlineStr">
        <is>
          <t>세그먼트 번호로 적는다 → 반드시 시간(초)으로 적습니다. 나중에 세그먼트 경계가 바뀌어도 평가셋을 다시 안 만들어도 되기 때문입니다.</t>
        </is>
      </c>
    </row>
    <row r="46" ht="16" customHeight="1">
      <c r="B46" s="8" t="inlineStr">
        <is>
          <t>X</t>
        </is>
      </c>
      <c r="C46" s="5" t="inlineStr">
        <is>
          <t>두 사람이 같이 앉아서 한다 → 독립성이 깨져 일치도 숫자가 의미를 잃습니다.</t>
        </is>
      </c>
    </row>
    <row r="48" ht="20" customHeight="1">
      <c r="B48" s="3" t="inlineStr">
        <is>
          <t>컬럼 설명 — [라벨링] 탭</t>
        </is>
      </c>
    </row>
    <row r="49">
      <c r="B49" s="9" t="inlineStr">
        <is>
          <t>컬럼</t>
        </is>
      </c>
      <c r="C49" s="9" t="inlineStr">
        <is>
          <t>무엇을 적나</t>
        </is>
      </c>
      <c r="D49" s="9" t="inlineStr">
        <is>
          <t>예시 · 규칙</t>
        </is>
      </c>
    </row>
    <row r="50" ht="32" customHeight="1">
      <c r="B50" s="10" t="inlineStr">
        <is>
          <t>qid</t>
        </is>
      </c>
      <c r="C50" s="11" t="inlineStr">
        <is>
          <t>질문 번호. q01, q02 … 형식.</t>
        </is>
      </c>
      <c r="D50" s="11" t="inlineStr">
        <is>
          <t>같은 질문이 여러 줄이면 qid 를 똑같이 반복합니다. 이것이 줄을 하나의 질문으로 묶는 열쇠입니다.</t>
        </is>
      </c>
    </row>
    <row r="51" ht="32" customHeight="1">
      <c r="B51" s="10" t="inlineStr">
        <is>
          <t>video_id</t>
        </is>
      </c>
      <c r="C51" s="11" t="inlineStr">
        <is>
          <t>어느 영상에 대한 질문인지.</t>
        </is>
      </c>
      <c r="D51" s="11" t="inlineStr">
        <is>
          <t>드롭다운으로 고르거나 [영상목록] 탭에서 복사합니다.  예: PbCq-C9GRzs</t>
        </is>
      </c>
    </row>
    <row r="52" ht="32" customHeight="1">
      <c r="B52" s="10" t="inlineStr">
        <is>
          <t>question</t>
        </is>
      </c>
      <c r="C52" s="11" t="inlineStr">
        <is>
          <t>질문 문장 그대로.</t>
        </is>
      </c>
      <c r="D52" s="11" t="inlineStr">
        <is>
          <t>같은 qid 의 모든 줄에 똑같이 반복해 적습니다.  예: 간장 몇 큰술 넣어?</t>
        </is>
      </c>
    </row>
    <row r="53" ht="32" customHeight="1">
      <c r="B53" s="10" t="inlineStr">
        <is>
          <t>q_type</t>
        </is>
      </c>
      <c r="C53" s="11" t="inlineStr">
        <is>
          <t>질문 유형 3가지 중 하나. 드롭다운.</t>
        </is>
      </c>
      <c r="D53" s="11" t="inlineStr">
        <is>
          <t>재료분량 / 순서타이밍 / 시각적상태 — 세 유형을 비슷한 개수로 맞춥니다. [진행현황] 탭에서 확인하세요.</t>
        </is>
      </c>
    </row>
    <row r="54" ht="32" customHeight="1">
      <c r="B54" s="10" t="inlineStr">
        <is>
          <t>start</t>
        </is>
      </c>
      <c r="C54" s="11" t="inlineStr">
        <is>
          <t>정답 구간 시작 시각(초).</t>
        </is>
      </c>
      <c r="D54" s="11" t="inlineStr">
        <is>
          <t>소수점 첫째 자리.  예: 22.0 · grade 가 '없음' 이면 비웁니다.</t>
        </is>
      </c>
    </row>
    <row r="55" ht="32" customHeight="1">
      <c r="B55" s="10" t="inlineStr">
        <is>
          <t>end</t>
        </is>
      </c>
      <c r="C55" s="11" t="inlineStr">
        <is>
          <t>정답 구간 끝 시각(초).</t>
        </is>
      </c>
      <c r="D55" s="11" t="inlineStr">
        <is>
          <t>소수점 첫째 자리.  예: 26.0 · start 보다 커야 하고 최소 2초 차이를 둡니다.</t>
        </is>
      </c>
    </row>
    <row r="56" ht="32" customHeight="1">
      <c r="B56" s="10" t="inlineStr">
        <is>
          <t>grade</t>
        </is>
      </c>
      <c r="C56" s="11" t="inlineStr">
        <is>
          <t>이 구간의 등급. 드롭다운.</t>
        </is>
      </c>
      <c r="D56" s="11" t="inlineStr">
        <is>
          <t>2 = 정확 · 1 = 관련 · 없음 = 영상에 답이 없음.  0은 적지 않습니다(빈칸이 곧 0점).</t>
        </is>
      </c>
    </row>
    <row r="57" ht="32" customHeight="1">
      <c r="B57" s="10" t="inlineStr">
        <is>
          <t>labeler</t>
        </is>
      </c>
      <c r="C57" s="11" t="inlineStr">
        <is>
          <t>라벨링한 사람 이름.</t>
        </is>
      </c>
      <c r="D57" s="11" t="inlineStr">
        <is>
          <t>본인 이름을 한 번 적고 아래로 복사해 채웁니다. 두 사람 파일을 합칠 때 쓰입니다.</t>
        </is>
      </c>
    </row>
    <row r="58" ht="32" customHeight="1">
      <c r="B58" s="10" t="inlineStr">
        <is>
          <t>note</t>
        </is>
      </c>
      <c r="C58" s="11" t="inlineStr">
        <is>
          <t>(선택) 메모.</t>
        </is>
      </c>
      <c r="D58" s="11" t="inlineStr">
        <is>
          <t>판단이 애매했던 이유 등. 비워도 됩니다. 합의 회의 때 참고용.</t>
        </is>
      </c>
    </row>
    <row r="60" ht="20" customHeight="1">
      <c r="B60" s="3" t="inlineStr">
        <is>
          <t>행(row) 규칙 — 한 질문이 여러 줄이 되는 이유</t>
        </is>
      </c>
    </row>
    <row r="61" ht="16" customHeight="1">
      <c r="B61" s="5" t="inlineStr">
        <is>
          <t>·  이 시트는 '질문 1개 = 1줄' 이 아니라 '정답 구간 1개 = 1줄' 입니다.</t>
        </is>
      </c>
    </row>
    <row r="62" ht="32" customHeight="1">
      <c r="B62" s="5" t="inlineStr">
        <is>
          <t>·  한 질문에 2점 구간 1개와 1점 구간 1개가 있으면 그 질문은 2줄을 차지합니다. qid / video_id / question / q_type / labeler 는 두 줄에 똑같이 반복해서 적습니다.</t>
        </is>
      </c>
    </row>
    <row r="63" ht="16" customHeight="1">
      <c r="B63" s="5" t="inlineStr">
        <is>
          <t>·  답이 없는 질문은 1줄만 쓰고 start · end 를 비운 뒤 grade 에 '없음' 을 적습니다.</t>
        </is>
      </c>
    </row>
    <row r="64" ht="16" customHeight="1">
      <c r="B64" s="5" t="inlineStr">
        <is>
          <t>·  줄 순서는 상관없습니다. 정렬돼 있지 않아도 집계는 정상 동작합니다.</t>
        </is>
      </c>
    </row>
  </sheetData>
  <mergeCells count="44">
    <mergeCell ref="C34:D34"/>
    <mergeCell ref="C6:D6"/>
    <mergeCell ref="C24:D24"/>
    <mergeCell ref="B14:D14"/>
    <mergeCell ref="C30:D30"/>
    <mergeCell ref="C15:D15"/>
    <mergeCell ref="B60:D60"/>
    <mergeCell ref="B61:D61"/>
    <mergeCell ref="B8:D8"/>
    <mergeCell ref="C5:D5"/>
    <mergeCell ref="C45:D45"/>
    <mergeCell ref="C35:D35"/>
    <mergeCell ref="C29:D29"/>
    <mergeCell ref="C10:D10"/>
    <mergeCell ref="C16:D16"/>
    <mergeCell ref="B37:D37"/>
    <mergeCell ref="C25:D25"/>
    <mergeCell ref="C41:D41"/>
    <mergeCell ref="C44:D44"/>
    <mergeCell ref="C22:D22"/>
    <mergeCell ref="C40:D40"/>
    <mergeCell ref="C9:D9"/>
    <mergeCell ref="C31:D31"/>
    <mergeCell ref="B64:D64"/>
    <mergeCell ref="B33:D33"/>
    <mergeCell ref="A1:D1"/>
    <mergeCell ref="C12:D12"/>
    <mergeCell ref="C46:D46"/>
    <mergeCell ref="B43:D43"/>
    <mergeCell ref="B63:D63"/>
    <mergeCell ref="C11:D11"/>
    <mergeCell ref="B4:D4"/>
    <mergeCell ref="B62:D62"/>
    <mergeCell ref="C17:D17"/>
    <mergeCell ref="C23:D23"/>
    <mergeCell ref="C39:D39"/>
    <mergeCell ref="C38:D38"/>
    <mergeCell ref="C19:D19"/>
    <mergeCell ref="B27:D27"/>
    <mergeCell ref="C28:D28"/>
    <mergeCell ref="B21:D21"/>
    <mergeCell ref="A2:D2"/>
    <mergeCell ref="C18:D18"/>
    <mergeCell ref="B48:D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14" customWidth="1" min="4" max="4"/>
    <col width="9" customWidth="1" min="5" max="5"/>
    <col width="9" customWidth="1" min="6" max="6"/>
    <col width="9" customWidth="1" min="7" max="7"/>
    <col width="12" customWidth="1" min="8" max="8"/>
    <col width="32" customWidth="1" min="9" max="9"/>
  </cols>
  <sheetData>
    <row r="1">
      <c r="A1" s="9" t="inlineStr">
        <is>
          <t>qid</t>
        </is>
      </c>
      <c r="B1" s="9" t="inlineStr">
        <is>
          <t>video_id</t>
        </is>
      </c>
      <c r="C1" s="9" t="inlineStr">
        <is>
          <t>question</t>
        </is>
      </c>
      <c r="D1" s="9" t="inlineStr">
        <is>
          <t>q_type</t>
        </is>
      </c>
      <c r="E1" s="9" t="inlineStr">
        <is>
          <t>start</t>
        </is>
      </c>
      <c r="F1" s="9" t="inlineStr">
        <is>
          <t>end</t>
        </is>
      </c>
      <c r="G1" s="9" t="inlineStr">
        <is>
          <t>grade</t>
        </is>
      </c>
      <c r="H1" s="9" t="inlineStr">
        <is>
          <t>labeler</t>
        </is>
      </c>
      <c r="I1" s="9" t="inlineStr">
        <is>
          <t>source</t>
        </is>
      </c>
    </row>
    <row r="2" ht="30" customHeight="1">
      <c r="A2" s="21" t="inlineStr">
        <is>
          <t>q001</t>
        </is>
      </c>
      <c r="B2" s="22" t="inlineStr">
        <is>
          <t>rfkc9X4BItc</t>
        </is>
      </c>
      <c r="C2" s="22" t="inlineStr">
        <is>
          <t>처음에 물은 얼마나 넣어?</t>
        </is>
      </c>
      <c r="D2" s="21" t="inlineStr">
        <is>
          <t>재료분량</t>
        </is>
      </c>
      <c r="E2" s="21" t="n">
        <v>11</v>
      </c>
      <c r="F2" s="21" t="n">
        <v>14</v>
      </c>
      <c r="G2" s="21" t="inlineStr">
        <is>
          <t>2</t>
        </is>
      </c>
      <c r="H2" s="22" t="inlineStr">
        <is>
          <t>임준서</t>
        </is>
      </c>
      <c r="I2" s="22" t="inlineStr">
        <is>
          <t>원본</t>
        </is>
      </c>
    </row>
    <row r="3">
      <c r="A3" s="23" t="inlineStr">
        <is>
          <t>q001</t>
        </is>
      </c>
      <c r="B3" s="24" t="inlineStr">
        <is>
          <t>rfkc9X4BItc</t>
        </is>
      </c>
      <c r="C3" s="24" t="inlineStr">
        <is>
          <t>처음에 물은 얼마나 넣어?</t>
        </is>
      </c>
      <c r="D3" s="23" t="inlineStr">
        <is>
          <t>재료분량</t>
        </is>
      </c>
      <c r="E3" s="23" t="n">
        <v>7</v>
      </c>
      <c r="F3" s="23" t="n">
        <v>11</v>
      </c>
      <c r="G3" s="23" t="inlineStr">
        <is>
          <t>1</t>
        </is>
      </c>
      <c r="H3" s="24" t="inlineStr">
        <is>
          <t>임준서</t>
        </is>
      </c>
      <c r="I3" s="24" t="inlineStr">
        <is>
          <t>규칙생성</t>
        </is>
      </c>
    </row>
    <row r="4">
      <c r="A4" s="21" t="inlineStr">
        <is>
          <t>q002</t>
        </is>
      </c>
      <c r="B4" s="22" t="inlineStr">
        <is>
          <t>rfkc9X4BItc</t>
        </is>
      </c>
      <c r="C4" s="22" t="inlineStr">
        <is>
          <t>오징어는 언제 넣어?</t>
        </is>
      </c>
      <c r="D4" s="21" t="inlineStr">
        <is>
          <t>순서타이밍</t>
        </is>
      </c>
      <c r="E4" s="21" t="n">
        <v>11</v>
      </c>
      <c r="F4" s="21" t="n">
        <v>16</v>
      </c>
      <c r="G4" s="21" t="inlineStr">
        <is>
          <t>2</t>
        </is>
      </c>
      <c r="H4" s="22" t="inlineStr">
        <is>
          <t>임준서</t>
        </is>
      </c>
      <c r="I4" s="22" t="inlineStr">
        <is>
          <t>원본</t>
        </is>
      </c>
    </row>
    <row r="5">
      <c r="A5" s="23" t="inlineStr">
        <is>
          <t>q002</t>
        </is>
      </c>
      <c r="B5" s="24" t="inlineStr">
        <is>
          <t>rfkc9X4BItc</t>
        </is>
      </c>
      <c r="C5" s="24" t="inlineStr">
        <is>
          <t>오징어는 언제 넣어?</t>
        </is>
      </c>
      <c r="D5" s="23" t="inlineStr">
        <is>
          <t>순서타이밍</t>
        </is>
      </c>
      <c r="E5" s="23" t="n">
        <v>7</v>
      </c>
      <c r="F5" s="23" t="n">
        <v>11</v>
      </c>
      <c r="G5" s="23" t="inlineStr">
        <is>
          <t>1</t>
        </is>
      </c>
      <c r="H5" s="24" t="inlineStr">
        <is>
          <t>임준서</t>
        </is>
      </c>
      <c r="I5" s="24" t="inlineStr">
        <is>
          <t>규칙생성</t>
        </is>
      </c>
    </row>
    <row r="6">
      <c r="A6" s="21" t="inlineStr">
        <is>
          <t>q003</t>
        </is>
      </c>
      <c r="B6" s="22" t="inlineStr">
        <is>
          <t>rfkc9X4BItc</t>
        </is>
      </c>
      <c r="C6" s="22" t="inlineStr">
        <is>
          <t>무는 어느 정도로 썰어?</t>
        </is>
      </c>
      <c r="D6" s="21" t="inlineStr">
        <is>
          <t>시각적상태</t>
        </is>
      </c>
      <c r="E6" s="21" t="n">
        <v>22</v>
      </c>
      <c r="F6" s="21" t="n">
        <v>24</v>
      </c>
      <c r="G6" s="21" t="inlineStr">
        <is>
          <t>2</t>
        </is>
      </c>
      <c r="H6" s="22" t="inlineStr">
        <is>
          <t>임준서</t>
        </is>
      </c>
      <c r="I6" s="22" t="inlineStr">
        <is>
          <t>원본</t>
        </is>
      </c>
    </row>
    <row r="7">
      <c r="A7" s="23" t="inlineStr">
        <is>
          <t>q003</t>
        </is>
      </c>
      <c r="B7" s="24" t="inlineStr">
        <is>
          <t>rfkc9X4BItc</t>
        </is>
      </c>
      <c r="C7" s="24" t="inlineStr">
        <is>
          <t>무는 어느 정도로 썰어?</t>
        </is>
      </c>
      <c r="D7" s="23" t="inlineStr">
        <is>
          <t>시각적상태</t>
        </is>
      </c>
      <c r="E7" s="23" t="n">
        <v>18</v>
      </c>
      <c r="F7" s="23" t="n">
        <v>22</v>
      </c>
      <c r="G7" s="23" t="inlineStr">
        <is>
          <t>1</t>
        </is>
      </c>
      <c r="H7" s="24" t="inlineStr">
        <is>
          <t>임준서</t>
        </is>
      </c>
      <c r="I7" s="24" t="inlineStr">
        <is>
          <t>규칙생성</t>
        </is>
      </c>
    </row>
    <row r="8">
      <c r="A8" s="21" t="inlineStr">
        <is>
          <t>q004</t>
        </is>
      </c>
      <c r="B8" s="22" t="inlineStr">
        <is>
          <t>rfkc9X4BItc</t>
        </is>
      </c>
      <c r="C8" s="22" t="inlineStr">
        <is>
          <t>맛술은 얼마나 넣어?</t>
        </is>
      </c>
      <c r="D8" s="21" t="inlineStr">
        <is>
          <t>재료분량</t>
        </is>
      </c>
      <c r="E8" s="21" t="n"/>
      <c r="F8" s="21" t="n"/>
      <c r="G8" s="21" t="inlineStr">
        <is>
          <t>없음</t>
        </is>
      </c>
      <c r="H8" s="22" t="inlineStr">
        <is>
          <t>임준서</t>
        </is>
      </c>
      <c r="I8" s="22" t="inlineStr">
        <is>
          <t>원본</t>
        </is>
      </c>
    </row>
    <row r="9">
      <c r="A9" s="21" t="inlineStr">
        <is>
          <t>q005</t>
        </is>
      </c>
      <c r="B9" s="22" t="inlineStr">
        <is>
          <t>Hwzl8IA9NH0</t>
        </is>
      </c>
      <c r="C9" s="22" t="inlineStr">
        <is>
          <t>새우는 언제까지 볶아야해?</t>
        </is>
      </c>
      <c r="D9" s="21" t="inlineStr">
        <is>
          <t>시각적상태</t>
        </is>
      </c>
      <c r="E9" s="21" t="n">
        <v>13</v>
      </c>
      <c r="F9" s="21" t="n">
        <v>15</v>
      </c>
      <c r="G9" s="21" t="inlineStr">
        <is>
          <t>2</t>
        </is>
      </c>
      <c r="H9" s="22" t="inlineStr">
        <is>
          <t>임준서</t>
        </is>
      </c>
      <c r="I9" s="22" t="inlineStr">
        <is>
          <t>원본</t>
        </is>
      </c>
    </row>
    <row r="10">
      <c r="A10" s="23" t="inlineStr">
        <is>
          <t>q005</t>
        </is>
      </c>
      <c r="B10" s="24" t="inlineStr">
        <is>
          <t>Hwzl8IA9NH0</t>
        </is>
      </c>
      <c r="C10" s="24" t="inlineStr">
        <is>
          <t>새우는 언제까지 볶아야해?</t>
        </is>
      </c>
      <c r="D10" s="23" t="inlineStr">
        <is>
          <t>시각적상태</t>
        </is>
      </c>
      <c r="E10" s="23" t="n">
        <v>9</v>
      </c>
      <c r="F10" s="23" t="n">
        <v>13</v>
      </c>
      <c r="G10" s="23" t="inlineStr">
        <is>
          <t>1</t>
        </is>
      </c>
      <c r="H10" s="24" t="inlineStr">
        <is>
          <t>임준서</t>
        </is>
      </c>
      <c r="I10" s="24" t="inlineStr">
        <is>
          <t>규칙생성</t>
        </is>
      </c>
    </row>
    <row r="11">
      <c r="A11" s="21" t="inlineStr">
        <is>
          <t>q006</t>
        </is>
      </c>
      <c r="B11" s="22" t="inlineStr">
        <is>
          <t>Hwzl8IA9NH0</t>
        </is>
      </c>
      <c r="C11" s="22" t="inlineStr">
        <is>
          <t>새우는 얼마나 넣어?</t>
        </is>
      </c>
      <c r="D11" s="21" t="inlineStr">
        <is>
          <t>재료분량</t>
        </is>
      </c>
      <c r="E11" s="21" t="n">
        <v>10</v>
      </c>
      <c r="F11" s="21" t="n">
        <v>12</v>
      </c>
      <c r="G11" s="21" t="inlineStr">
        <is>
          <t>2</t>
        </is>
      </c>
      <c r="H11" s="22" t="inlineStr">
        <is>
          <t>임준서</t>
        </is>
      </c>
      <c r="I11" s="22" t="inlineStr">
        <is>
          <t>원본</t>
        </is>
      </c>
    </row>
    <row r="12">
      <c r="A12" s="23" t="inlineStr">
        <is>
          <t>q006</t>
        </is>
      </c>
      <c r="B12" s="24" t="inlineStr">
        <is>
          <t>Hwzl8IA9NH0</t>
        </is>
      </c>
      <c r="C12" s="24" t="inlineStr">
        <is>
          <t>새우는 얼마나 넣어?</t>
        </is>
      </c>
      <c r="D12" s="23" t="inlineStr">
        <is>
          <t>재료분량</t>
        </is>
      </c>
      <c r="E12" s="23" t="n">
        <v>6</v>
      </c>
      <c r="F12" s="23" t="n">
        <v>10</v>
      </c>
      <c r="G12" s="23" t="inlineStr">
        <is>
          <t>1</t>
        </is>
      </c>
      <c r="H12" s="24" t="inlineStr">
        <is>
          <t>임준서</t>
        </is>
      </c>
      <c r="I12" s="24" t="inlineStr">
        <is>
          <t>규칙생성</t>
        </is>
      </c>
    </row>
    <row r="13">
      <c r="A13" s="21" t="inlineStr">
        <is>
          <t>q007</t>
        </is>
      </c>
      <c r="B13" s="22" t="inlineStr">
        <is>
          <t>Hwzl8IA9NH0</t>
        </is>
      </c>
      <c r="C13" s="22" t="inlineStr">
        <is>
          <t>토마토소스는 얼마나 넣어?</t>
        </is>
      </c>
      <c r="D13" s="21" t="inlineStr">
        <is>
          <t>재료분량</t>
        </is>
      </c>
      <c r="E13" s="21" t="n">
        <v>20</v>
      </c>
      <c r="F13" s="21" t="n">
        <v>22</v>
      </c>
      <c r="G13" s="21" t="inlineStr">
        <is>
          <t>2</t>
        </is>
      </c>
      <c r="H13" s="22" t="inlineStr">
        <is>
          <t>임준서</t>
        </is>
      </c>
      <c r="I13" s="22" t="inlineStr">
        <is>
          <t>원본</t>
        </is>
      </c>
    </row>
    <row r="14">
      <c r="A14" s="23" t="inlineStr">
        <is>
          <t>q007</t>
        </is>
      </c>
      <c r="B14" s="24" t="inlineStr">
        <is>
          <t>Hwzl8IA9NH0</t>
        </is>
      </c>
      <c r="C14" s="24" t="inlineStr">
        <is>
          <t>토마토소스는 얼마나 넣어?</t>
        </is>
      </c>
      <c r="D14" s="23" t="inlineStr">
        <is>
          <t>재료분량</t>
        </is>
      </c>
      <c r="E14" s="23" t="n">
        <v>16</v>
      </c>
      <c r="F14" s="23" t="n">
        <v>20</v>
      </c>
      <c r="G14" s="23" t="inlineStr">
        <is>
          <t>1</t>
        </is>
      </c>
      <c r="H14" s="24" t="inlineStr">
        <is>
          <t>임준서</t>
        </is>
      </c>
      <c r="I14" s="24" t="inlineStr">
        <is>
          <t>규칙생성</t>
        </is>
      </c>
    </row>
    <row r="15">
      <c r="A15" s="21" t="inlineStr">
        <is>
          <t>q008</t>
        </is>
      </c>
      <c r="B15" s="22" t="inlineStr">
        <is>
          <t>Hwzl8IA9NH0</t>
        </is>
      </c>
      <c r="C15" s="22" t="inlineStr">
        <is>
          <t>간장은 몇 스푼 넣어?</t>
        </is>
      </c>
      <c r="D15" s="21" t="inlineStr">
        <is>
          <t>재료분량</t>
        </is>
      </c>
      <c r="E15" s="21" t="n"/>
      <c r="F15" s="21" t="n"/>
      <c r="G15" s="21" t="inlineStr">
        <is>
          <t>없음</t>
        </is>
      </c>
      <c r="H15" s="22" t="inlineStr">
        <is>
          <t>임준서</t>
        </is>
      </c>
      <c r="I15" s="22" t="inlineStr">
        <is>
          <t>원본</t>
        </is>
      </c>
    </row>
    <row r="16">
      <c r="A16" s="21" t="inlineStr">
        <is>
          <t>q009</t>
        </is>
      </c>
      <c r="B16" s="22" t="inlineStr">
        <is>
          <t>11C8XqWobjQ</t>
        </is>
      </c>
      <c r="C16" s="22" t="inlineStr">
        <is>
          <t>양념에 들어가는 재료들은 뭐야?</t>
        </is>
      </c>
      <c r="D16" s="21" t="inlineStr">
        <is>
          <t>재료분량</t>
        </is>
      </c>
      <c r="E16" s="21" t="n">
        <v>12</v>
      </c>
      <c r="F16" s="21" t="n">
        <v>19</v>
      </c>
      <c r="G16" s="21" t="inlineStr">
        <is>
          <t>2</t>
        </is>
      </c>
      <c r="H16" s="22" t="inlineStr">
        <is>
          <t>임준서</t>
        </is>
      </c>
      <c r="I16" s="22" t="inlineStr">
        <is>
          <t>원본</t>
        </is>
      </c>
    </row>
    <row r="17">
      <c r="A17" s="23" t="inlineStr">
        <is>
          <t>q009</t>
        </is>
      </c>
      <c r="B17" s="24" t="inlineStr">
        <is>
          <t>11C8XqWobjQ</t>
        </is>
      </c>
      <c r="C17" s="24" t="inlineStr">
        <is>
          <t>양념에 들어가는 재료들은 뭐야?</t>
        </is>
      </c>
      <c r="D17" s="23" t="inlineStr">
        <is>
          <t>재료분량</t>
        </is>
      </c>
      <c r="E17" s="23" t="n">
        <v>8</v>
      </c>
      <c r="F17" s="23" t="n">
        <v>12</v>
      </c>
      <c r="G17" s="23" t="inlineStr">
        <is>
          <t>1</t>
        </is>
      </c>
      <c r="H17" s="24" t="inlineStr">
        <is>
          <t>임준서</t>
        </is>
      </c>
      <c r="I17" s="24" t="inlineStr">
        <is>
          <t>규칙생성</t>
        </is>
      </c>
    </row>
    <row r="18">
      <c r="A18" s="21" t="inlineStr">
        <is>
          <t>q010</t>
        </is>
      </c>
      <c r="B18" s="22" t="inlineStr">
        <is>
          <t>11C8XqWobjQ</t>
        </is>
      </c>
      <c r="C18" s="22" t="inlineStr">
        <is>
          <t>멸치육수는 얼마나 넣어?</t>
        </is>
      </c>
      <c r="D18" s="21" t="inlineStr">
        <is>
          <t>재료분량</t>
        </is>
      </c>
      <c r="E18" s="21" t="n">
        <v>25</v>
      </c>
      <c r="F18" s="21" t="n">
        <v>29</v>
      </c>
      <c r="G18" s="21" t="inlineStr">
        <is>
          <t>2</t>
        </is>
      </c>
      <c r="H18" s="22" t="inlineStr">
        <is>
          <t>임준서</t>
        </is>
      </c>
      <c r="I18" s="22" t="inlineStr">
        <is>
          <t>원본</t>
        </is>
      </c>
    </row>
    <row r="19">
      <c r="A19" s="23" t="inlineStr">
        <is>
          <t>q010</t>
        </is>
      </c>
      <c r="B19" s="24" t="inlineStr">
        <is>
          <t>11C8XqWobjQ</t>
        </is>
      </c>
      <c r="C19" s="24" t="inlineStr">
        <is>
          <t>멸치육수는 얼마나 넣어?</t>
        </is>
      </c>
      <c r="D19" s="23" t="inlineStr">
        <is>
          <t>재료분량</t>
        </is>
      </c>
      <c r="E19" s="23" t="n">
        <v>21</v>
      </c>
      <c r="F19" s="23" t="n">
        <v>25</v>
      </c>
      <c r="G19" s="23" t="inlineStr">
        <is>
          <t>1</t>
        </is>
      </c>
      <c r="H19" s="24" t="inlineStr">
        <is>
          <t>임준서</t>
        </is>
      </c>
      <c r="I19" s="24" t="inlineStr">
        <is>
          <t>규칙생성</t>
        </is>
      </c>
    </row>
    <row r="20">
      <c r="A20" s="21" t="inlineStr">
        <is>
          <t>q011</t>
        </is>
      </c>
      <c r="B20" s="22" t="inlineStr">
        <is>
          <t>11C8XqWobjQ</t>
        </is>
      </c>
      <c r="C20" s="22" t="inlineStr">
        <is>
          <t>당근이랑 애호박은 어떻게 썰어?</t>
        </is>
      </c>
      <c r="D20" s="21" t="inlineStr">
        <is>
          <t>시각적상태</t>
        </is>
      </c>
      <c r="E20" s="21" t="n">
        <v>4.5</v>
      </c>
      <c r="F20" s="21" t="n">
        <v>10</v>
      </c>
      <c r="G20" s="21" t="inlineStr">
        <is>
          <t>2</t>
        </is>
      </c>
      <c r="H20" s="22" t="inlineStr">
        <is>
          <t>임준서</t>
        </is>
      </c>
      <c r="I20" s="22" t="inlineStr">
        <is>
          <t>원본</t>
        </is>
      </c>
    </row>
    <row r="21">
      <c r="A21" s="23" t="inlineStr">
        <is>
          <t>q011</t>
        </is>
      </c>
      <c r="B21" s="24" t="inlineStr">
        <is>
          <t>11C8XqWobjQ</t>
        </is>
      </c>
      <c r="C21" s="24" t="inlineStr">
        <is>
          <t>당근이랑 애호박은 어떻게 썰어?</t>
        </is>
      </c>
      <c r="D21" s="23" t="inlineStr">
        <is>
          <t>시각적상태</t>
        </is>
      </c>
      <c r="E21" s="23" t="n">
        <v>0.5</v>
      </c>
      <c r="F21" s="23" t="n">
        <v>4.5</v>
      </c>
      <c r="G21" s="23" t="inlineStr">
        <is>
          <t>1</t>
        </is>
      </c>
      <c r="H21" s="24" t="inlineStr">
        <is>
          <t>임준서</t>
        </is>
      </c>
      <c r="I21" s="24" t="inlineStr">
        <is>
          <t>규칙생성</t>
        </is>
      </c>
    </row>
    <row r="22">
      <c r="A22" s="21" t="inlineStr">
        <is>
          <t>q012</t>
        </is>
      </c>
      <c r="B22" s="22" t="inlineStr">
        <is>
          <t>11C8XqWobjQ</t>
        </is>
      </c>
      <c r="C22" s="22" t="inlineStr">
        <is>
          <t>김치는 언제 넣어?</t>
        </is>
      </c>
      <c r="D22" s="21" t="inlineStr">
        <is>
          <t>순서타이밍</t>
        </is>
      </c>
      <c r="E22" s="21" t="n"/>
      <c r="F22" s="21" t="n"/>
      <c r="G22" s="21" t="inlineStr">
        <is>
          <t>없음</t>
        </is>
      </c>
      <c r="H22" s="22" t="inlineStr">
        <is>
          <t>임준서</t>
        </is>
      </c>
      <c r="I22" s="22" t="inlineStr">
        <is>
          <t>원본</t>
        </is>
      </c>
    </row>
    <row r="23">
      <c r="A23" s="21" t="inlineStr">
        <is>
          <t>q013</t>
        </is>
      </c>
      <c r="B23" s="22" t="inlineStr">
        <is>
          <t>iDMyw61V1XM</t>
        </is>
      </c>
      <c r="C23" s="22" t="inlineStr">
        <is>
          <t>양념장에 어떤 재료들 들어가?</t>
        </is>
      </c>
      <c r="D23" s="21" t="inlineStr">
        <is>
          <t>재료분량</t>
        </is>
      </c>
      <c r="E23" s="21" t="n">
        <v>15.5</v>
      </c>
      <c r="F23" s="21" t="n">
        <v>25</v>
      </c>
      <c r="G23" s="21" t="inlineStr">
        <is>
          <t>2</t>
        </is>
      </c>
      <c r="H23" s="22" t="inlineStr">
        <is>
          <t>임준서</t>
        </is>
      </c>
      <c r="I23" s="22" t="inlineStr">
        <is>
          <t>원본</t>
        </is>
      </c>
    </row>
    <row r="24">
      <c r="A24" s="23" t="inlineStr">
        <is>
          <t>q013</t>
        </is>
      </c>
      <c r="B24" s="24" t="inlineStr">
        <is>
          <t>iDMyw61V1XM</t>
        </is>
      </c>
      <c r="C24" s="24" t="inlineStr">
        <is>
          <t>양념장에 어떤 재료들 들어가?</t>
        </is>
      </c>
      <c r="D24" s="23" t="inlineStr">
        <is>
          <t>재료분량</t>
        </is>
      </c>
      <c r="E24" s="23" t="n">
        <v>11.5</v>
      </c>
      <c r="F24" s="23" t="n">
        <v>15.5</v>
      </c>
      <c r="G24" s="23" t="inlineStr">
        <is>
          <t>1</t>
        </is>
      </c>
      <c r="H24" s="24" t="inlineStr">
        <is>
          <t>임준서</t>
        </is>
      </c>
      <c r="I24" s="24" t="inlineStr">
        <is>
          <t>규칙생성</t>
        </is>
      </c>
    </row>
    <row r="25">
      <c r="A25" s="21" t="inlineStr">
        <is>
          <t>q014</t>
        </is>
      </c>
      <c r="B25" s="22" t="inlineStr">
        <is>
          <t>iDMyw61V1XM</t>
        </is>
      </c>
      <c r="C25" s="22" t="inlineStr">
        <is>
          <t>떡은 언제 넣어?</t>
        </is>
      </c>
      <c r="D25" s="21" t="inlineStr">
        <is>
          <t>순서타이밍</t>
        </is>
      </c>
      <c r="E25" s="21" t="n">
        <v>31</v>
      </c>
      <c r="F25" s="21" t="n">
        <v>34</v>
      </c>
      <c r="G25" s="21" t="inlineStr">
        <is>
          <t>2</t>
        </is>
      </c>
      <c r="H25" s="22" t="inlineStr">
        <is>
          <t>임준서</t>
        </is>
      </c>
      <c r="I25" s="22" t="inlineStr">
        <is>
          <t>원본</t>
        </is>
      </c>
    </row>
    <row r="26">
      <c r="A26" s="23" t="inlineStr">
        <is>
          <t>q014</t>
        </is>
      </c>
      <c r="B26" s="24" t="inlineStr">
        <is>
          <t>iDMyw61V1XM</t>
        </is>
      </c>
      <c r="C26" s="24" t="inlineStr">
        <is>
          <t>떡은 언제 넣어?</t>
        </is>
      </c>
      <c r="D26" s="23" t="inlineStr">
        <is>
          <t>순서타이밍</t>
        </is>
      </c>
      <c r="E26" s="23" t="n">
        <v>27</v>
      </c>
      <c r="F26" s="23" t="n">
        <v>31</v>
      </c>
      <c r="G26" s="23" t="inlineStr">
        <is>
          <t>1</t>
        </is>
      </c>
      <c r="H26" s="24" t="inlineStr">
        <is>
          <t>임준서</t>
        </is>
      </c>
      <c r="I26" s="24" t="inlineStr">
        <is>
          <t>규칙생성</t>
        </is>
      </c>
    </row>
    <row r="27">
      <c r="A27" s="21" t="inlineStr">
        <is>
          <t>q015</t>
        </is>
      </c>
      <c r="B27" s="22" t="inlineStr">
        <is>
          <t>iDMyw61V1XM</t>
        </is>
      </c>
      <c r="C27" s="22" t="inlineStr">
        <is>
          <t>양념은 어느 정도로 졸여?</t>
        </is>
      </c>
      <c r="D27" s="21" t="inlineStr">
        <is>
          <t>시각적상태</t>
        </is>
      </c>
      <c r="E27" s="21" t="n">
        <v>43</v>
      </c>
      <c r="F27" s="21" t="n">
        <v>50</v>
      </c>
      <c r="G27" s="21" t="inlineStr">
        <is>
          <t>2</t>
        </is>
      </c>
      <c r="H27" s="22" t="inlineStr">
        <is>
          <t>임준서</t>
        </is>
      </c>
      <c r="I27" s="22" t="inlineStr">
        <is>
          <t>원본</t>
        </is>
      </c>
    </row>
    <row r="28">
      <c r="A28" s="23" t="inlineStr">
        <is>
          <t>q015</t>
        </is>
      </c>
      <c r="B28" s="24" t="inlineStr">
        <is>
          <t>iDMyw61V1XM</t>
        </is>
      </c>
      <c r="C28" s="24" t="inlineStr">
        <is>
          <t>양념은 어느 정도로 졸여?</t>
        </is>
      </c>
      <c r="D28" s="23" t="inlineStr">
        <is>
          <t>시각적상태</t>
        </is>
      </c>
      <c r="E28" s="23" t="n">
        <v>39</v>
      </c>
      <c r="F28" s="23" t="n">
        <v>43</v>
      </c>
      <c r="G28" s="23" t="inlineStr">
        <is>
          <t>1</t>
        </is>
      </c>
      <c r="H28" s="24" t="inlineStr">
        <is>
          <t>임준서</t>
        </is>
      </c>
      <c r="I28" s="24" t="inlineStr">
        <is>
          <t>규칙생성</t>
        </is>
      </c>
    </row>
    <row r="29">
      <c r="A29" s="21" t="inlineStr">
        <is>
          <t>q016</t>
        </is>
      </c>
      <c r="B29" s="22" t="inlineStr">
        <is>
          <t>iDMyw61V1XM</t>
        </is>
      </c>
      <c r="C29" s="22" t="inlineStr">
        <is>
          <t>오븐에는 몇 분 구워?</t>
        </is>
      </c>
      <c r="D29" s="21" t="inlineStr">
        <is>
          <t>순서타이밍</t>
        </is>
      </c>
      <c r="E29" s="21" t="n"/>
      <c r="F29" s="21" t="n"/>
      <c r="G29" s="21" t="inlineStr">
        <is>
          <t>없음</t>
        </is>
      </c>
      <c r="H29" s="22" t="inlineStr">
        <is>
          <t>임준서</t>
        </is>
      </c>
      <c r="I29" s="22" t="inlineStr">
        <is>
          <t>원본</t>
        </is>
      </c>
    </row>
    <row r="30">
      <c r="A30" s="21" t="inlineStr">
        <is>
          <t>q017</t>
        </is>
      </c>
      <c r="B30" s="22" t="inlineStr">
        <is>
          <t>l3WthBEFzFw</t>
        </is>
      </c>
      <c r="C30" s="22" t="inlineStr">
        <is>
          <t>양파가 몇 개나 들어가?</t>
        </is>
      </c>
      <c r="D30" s="21" t="inlineStr">
        <is>
          <t>재료분량</t>
        </is>
      </c>
      <c r="E30" s="21" t="n">
        <v>5.1</v>
      </c>
      <c r="F30" s="21" t="n">
        <v>8.6</v>
      </c>
      <c r="G30" s="21" t="inlineStr">
        <is>
          <t>2</t>
        </is>
      </c>
      <c r="H30" s="22" t="inlineStr">
        <is>
          <t>이동현</t>
        </is>
      </c>
      <c r="I30" s="22" t="inlineStr">
        <is>
          <t>원본</t>
        </is>
      </c>
    </row>
    <row r="31">
      <c r="A31" s="23" t="inlineStr">
        <is>
          <t>q017</t>
        </is>
      </c>
      <c r="B31" s="24" t="inlineStr">
        <is>
          <t>l3WthBEFzFw</t>
        </is>
      </c>
      <c r="C31" s="24" t="inlineStr">
        <is>
          <t>양파가 몇 개나 들어가?</t>
        </is>
      </c>
      <c r="D31" s="23" t="inlineStr">
        <is>
          <t>재료분량</t>
        </is>
      </c>
      <c r="E31" s="23" t="n">
        <v>1.1</v>
      </c>
      <c r="F31" s="23" t="n">
        <v>5.1</v>
      </c>
      <c r="G31" s="23" t="inlineStr">
        <is>
          <t>1</t>
        </is>
      </c>
      <c r="H31" s="24" t="inlineStr">
        <is>
          <t>이동현</t>
        </is>
      </c>
      <c r="I31" s="24" t="inlineStr">
        <is>
          <t>규칙생성</t>
        </is>
      </c>
    </row>
    <row r="32">
      <c r="A32" s="21" t="inlineStr">
        <is>
          <t>q018</t>
        </is>
      </c>
      <c r="B32" s="22" t="inlineStr">
        <is>
          <t>l3WthBEFzFw</t>
        </is>
      </c>
      <c r="C32" s="22" t="inlineStr">
        <is>
          <t>감자랑 양파 볶고 나서 다음에 뭐해야 되지?</t>
        </is>
      </c>
      <c r="D32" s="21" t="inlineStr">
        <is>
          <t>순서타이밍</t>
        </is>
      </c>
      <c r="E32" s="21" t="n">
        <v>38.1</v>
      </c>
      <c r="F32" s="21" t="n">
        <v>39</v>
      </c>
      <c r="G32" s="21" t="inlineStr">
        <is>
          <t>2</t>
        </is>
      </c>
      <c r="H32" s="22" t="inlineStr">
        <is>
          <t>이동현</t>
        </is>
      </c>
      <c r="I32" s="22" t="inlineStr">
        <is>
          <t>원본</t>
        </is>
      </c>
    </row>
    <row r="33">
      <c r="A33" s="23" t="inlineStr">
        <is>
          <t>q018</t>
        </is>
      </c>
      <c r="B33" s="24" t="inlineStr">
        <is>
          <t>l3WthBEFzFw</t>
        </is>
      </c>
      <c r="C33" s="24" t="inlineStr">
        <is>
          <t>감자랑 양파 볶고 나서 다음에 뭐해야 되지?</t>
        </is>
      </c>
      <c r="D33" s="23" t="inlineStr">
        <is>
          <t>순서타이밍</t>
        </is>
      </c>
      <c r="E33" s="23" t="n">
        <v>34.1</v>
      </c>
      <c r="F33" s="23" t="n">
        <v>38.1</v>
      </c>
      <c r="G33" s="23" t="inlineStr">
        <is>
          <t>1</t>
        </is>
      </c>
      <c r="H33" s="24" t="inlineStr">
        <is>
          <t>이동현</t>
        </is>
      </c>
      <c r="I33" s="24" t="inlineStr">
        <is>
          <t>규칙생성</t>
        </is>
      </c>
    </row>
    <row r="34">
      <c r="A34" s="21" t="inlineStr">
        <is>
          <t>q019</t>
        </is>
      </c>
      <c r="B34" s="22" t="inlineStr">
        <is>
          <t>l3WthBEFzFw</t>
        </is>
      </c>
      <c r="C34" s="22" t="inlineStr">
        <is>
          <t>간장 넣는 장면 찾아줘</t>
        </is>
      </c>
      <c r="D34" s="21" t="inlineStr">
        <is>
          <t>시각적상태</t>
        </is>
      </c>
      <c r="E34" s="21" t="n">
        <v>39.8</v>
      </c>
      <c r="F34" s="21" t="n">
        <v>40.5</v>
      </c>
      <c r="G34" s="21" t="inlineStr">
        <is>
          <t>2</t>
        </is>
      </c>
      <c r="H34" s="22" t="inlineStr">
        <is>
          <t>이동현</t>
        </is>
      </c>
      <c r="I34" s="22" t="inlineStr">
        <is>
          <t>원본</t>
        </is>
      </c>
    </row>
    <row r="35">
      <c r="A35" s="23" t="inlineStr">
        <is>
          <t>q019</t>
        </is>
      </c>
      <c r="B35" s="24" t="inlineStr">
        <is>
          <t>l3WthBEFzFw</t>
        </is>
      </c>
      <c r="C35" s="24" t="inlineStr">
        <is>
          <t>간장 넣는 장면 찾아줘</t>
        </is>
      </c>
      <c r="D35" s="23" t="inlineStr">
        <is>
          <t>시각적상태</t>
        </is>
      </c>
      <c r="E35" s="23" t="n">
        <v>35.8</v>
      </c>
      <c r="F35" s="23" t="n">
        <v>39.8</v>
      </c>
      <c r="G35" s="23" t="inlineStr">
        <is>
          <t>1</t>
        </is>
      </c>
      <c r="H35" s="24" t="inlineStr">
        <is>
          <t>이동현</t>
        </is>
      </c>
      <c r="I35" s="24" t="inlineStr">
        <is>
          <t>규칙생성</t>
        </is>
      </c>
    </row>
    <row r="36">
      <c r="A36" s="21" t="inlineStr">
        <is>
          <t>q020</t>
        </is>
      </c>
      <c r="B36" s="22" t="inlineStr">
        <is>
          <t>l3WthBEFzFw</t>
        </is>
      </c>
      <c r="C36" s="22" t="inlineStr">
        <is>
          <t>당근 넣는 장면 찾아줘</t>
        </is>
      </c>
      <c r="D36" s="21" t="inlineStr">
        <is>
          <t>시각적상태</t>
        </is>
      </c>
      <c r="E36" s="21" t="n"/>
      <c r="F36" s="21" t="n"/>
      <c r="G36" s="21" t="inlineStr">
        <is>
          <t>없음</t>
        </is>
      </c>
      <c r="H36" s="22" t="inlineStr">
        <is>
          <t>이동현</t>
        </is>
      </c>
      <c r="I36" s="22" t="inlineStr">
        <is>
          <t>원본</t>
        </is>
      </c>
    </row>
    <row r="37">
      <c r="A37" s="21" t="inlineStr">
        <is>
          <t>q021</t>
        </is>
      </c>
      <c r="B37" s="22" t="inlineStr">
        <is>
          <t>z8QPN-ITUvI</t>
        </is>
      </c>
      <c r="C37" s="22" t="inlineStr">
        <is>
          <t>식초 몇 스푼 들어가지?</t>
        </is>
      </c>
      <c r="D37" s="21" t="inlineStr">
        <is>
          <t>재료분량</t>
        </is>
      </c>
      <c r="E37" s="21" t="n">
        <v>15.5</v>
      </c>
      <c r="F37" s="21" t="n">
        <v>16.1</v>
      </c>
      <c r="G37" s="21" t="inlineStr">
        <is>
          <t>2</t>
        </is>
      </c>
      <c r="H37" s="22" t="inlineStr">
        <is>
          <t>이동현</t>
        </is>
      </c>
      <c r="I37" s="22" t="inlineStr">
        <is>
          <t>원본</t>
        </is>
      </c>
    </row>
    <row r="38">
      <c r="A38" s="23" t="inlineStr">
        <is>
          <t>q021</t>
        </is>
      </c>
      <c r="B38" s="24" t="inlineStr">
        <is>
          <t>z8QPN-ITUvI</t>
        </is>
      </c>
      <c r="C38" s="24" t="inlineStr">
        <is>
          <t>식초 몇 스푼 들어가지?</t>
        </is>
      </c>
      <c r="D38" s="23" t="inlineStr">
        <is>
          <t>재료분량</t>
        </is>
      </c>
      <c r="E38" s="23" t="n">
        <v>11.5</v>
      </c>
      <c r="F38" s="23" t="n">
        <v>15.5</v>
      </c>
      <c r="G38" s="23" t="inlineStr">
        <is>
          <t>1</t>
        </is>
      </c>
      <c r="H38" s="24" t="inlineStr">
        <is>
          <t>이동현</t>
        </is>
      </c>
      <c r="I38" s="24" t="inlineStr">
        <is>
          <t>규칙생성</t>
        </is>
      </c>
    </row>
    <row r="39">
      <c r="A39" s="21" t="inlineStr">
        <is>
          <t>q022</t>
        </is>
      </c>
      <c r="B39" s="22" t="inlineStr">
        <is>
          <t>z8QPN-ITUvI</t>
        </is>
      </c>
      <c r="C39" s="22" t="inlineStr">
        <is>
          <t>양념장에 면 넣고나서 뭐해야되지?</t>
        </is>
      </c>
      <c r="D39" s="21" t="inlineStr">
        <is>
          <t>순서타이밍</t>
        </is>
      </c>
      <c r="E39" s="21" t="n">
        <v>20</v>
      </c>
      <c r="F39" s="21" t="n">
        <v>22</v>
      </c>
      <c r="G39" s="21" t="inlineStr">
        <is>
          <t>2</t>
        </is>
      </c>
      <c r="H39" s="22" t="inlineStr">
        <is>
          <t>이동현</t>
        </is>
      </c>
      <c r="I39" s="22" t="inlineStr">
        <is>
          <t>원본</t>
        </is>
      </c>
    </row>
    <row r="40">
      <c r="A40" s="23" t="inlineStr">
        <is>
          <t>q022</t>
        </is>
      </c>
      <c r="B40" s="24" t="inlineStr">
        <is>
          <t>z8QPN-ITUvI</t>
        </is>
      </c>
      <c r="C40" s="24" t="inlineStr">
        <is>
          <t>양념장에 면 넣고나서 뭐해야되지?</t>
        </is>
      </c>
      <c r="D40" s="23" t="inlineStr">
        <is>
          <t>순서타이밍</t>
        </is>
      </c>
      <c r="E40" s="23" t="n">
        <v>16</v>
      </c>
      <c r="F40" s="23" t="n">
        <v>20</v>
      </c>
      <c r="G40" s="23" t="inlineStr">
        <is>
          <t>1</t>
        </is>
      </c>
      <c r="H40" s="24" t="inlineStr">
        <is>
          <t>이동현</t>
        </is>
      </c>
      <c r="I40" s="24" t="inlineStr">
        <is>
          <t>규칙생성</t>
        </is>
      </c>
    </row>
    <row r="41">
      <c r="A41" s="21" t="inlineStr">
        <is>
          <t>q023</t>
        </is>
      </c>
      <c r="B41" s="22" t="inlineStr">
        <is>
          <t>z8QPN-ITUvI</t>
        </is>
      </c>
      <c r="C41" s="22" t="inlineStr">
        <is>
          <t>상추 찢어서 넣는 장면 찾아줘</t>
        </is>
      </c>
      <c r="D41" s="21" t="inlineStr">
        <is>
          <t>시각적상태</t>
        </is>
      </c>
      <c r="E41" s="21" t="n">
        <v>24.6</v>
      </c>
      <c r="F41" s="21" t="n">
        <v>26</v>
      </c>
      <c r="G41" s="21" t="inlineStr">
        <is>
          <t>2</t>
        </is>
      </c>
      <c r="H41" s="22" t="inlineStr">
        <is>
          <t>이동현</t>
        </is>
      </c>
      <c r="I41" s="22" t="inlineStr">
        <is>
          <t>원본</t>
        </is>
      </c>
    </row>
    <row r="42">
      <c r="A42" s="23" t="inlineStr">
        <is>
          <t>q023</t>
        </is>
      </c>
      <c r="B42" s="24" t="inlineStr">
        <is>
          <t>z8QPN-ITUvI</t>
        </is>
      </c>
      <c r="C42" s="24" t="inlineStr">
        <is>
          <t>상추 찢어서 넣는 장면 찾아줘</t>
        </is>
      </c>
      <c r="D42" s="23" t="inlineStr">
        <is>
          <t>시각적상태</t>
        </is>
      </c>
      <c r="E42" s="23" t="n">
        <v>20.6</v>
      </c>
      <c r="F42" s="23" t="n">
        <v>24.6</v>
      </c>
      <c r="G42" s="23" t="inlineStr">
        <is>
          <t>1</t>
        </is>
      </c>
      <c r="H42" s="24" t="inlineStr">
        <is>
          <t>이동현</t>
        </is>
      </c>
      <c r="I42" s="24" t="inlineStr">
        <is>
          <t>규칙생성</t>
        </is>
      </c>
    </row>
    <row r="43">
      <c r="A43" s="21" t="inlineStr">
        <is>
          <t>q024</t>
        </is>
      </c>
      <c r="B43" s="22" t="inlineStr">
        <is>
          <t>z8QPN-ITUvI</t>
        </is>
      </c>
      <c r="C43" s="22" t="inlineStr">
        <is>
          <t>반죽 잘라서 면 만드는 과정 찾아줘</t>
        </is>
      </c>
      <c r="D43" s="21" t="inlineStr">
        <is>
          <t>순서타이밍</t>
        </is>
      </c>
      <c r="E43" s="21" t="n"/>
      <c r="F43" s="21" t="n"/>
      <c r="G43" s="21" t="inlineStr">
        <is>
          <t>없음</t>
        </is>
      </c>
      <c r="H43" s="22" t="inlineStr">
        <is>
          <t>이동현</t>
        </is>
      </c>
      <c r="I43" s="22" t="inlineStr">
        <is>
          <t>원본</t>
        </is>
      </c>
    </row>
    <row r="44">
      <c r="A44" s="21" t="inlineStr">
        <is>
          <t>q025</t>
        </is>
      </c>
      <c r="B44" s="22" t="inlineStr">
        <is>
          <t>igP4-Rq5zgM</t>
        </is>
      </c>
      <c r="C44" s="22" t="inlineStr">
        <is>
          <t>사리곰탕 스프 얼마나 들어가지?</t>
        </is>
      </c>
      <c r="D44" s="21" t="inlineStr">
        <is>
          <t>재료분량</t>
        </is>
      </c>
      <c r="E44" s="21" t="n">
        <v>4.7</v>
      </c>
      <c r="F44" s="21" t="n">
        <v>5.1</v>
      </c>
      <c r="G44" s="21" t="inlineStr">
        <is>
          <t>2</t>
        </is>
      </c>
      <c r="H44" s="22" t="inlineStr">
        <is>
          <t>이동현</t>
        </is>
      </c>
      <c r="I44" s="22" t="inlineStr">
        <is>
          <t>원본</t>
        </is>
      </c>
    </row>
    <row r="45">
      <c r="A45" s="23" t="inlineStr">
        <is>
          <t>q025</t>
        </is>
      </c>
      <c r="B45" s="24" t="inlineStr">
        <is>
          <t>igP4-Rq5zgM</t>
        </is>
      </c>
      <c r="C45" s="24" t="inlineStr">
        <is>
          <t>사리곰탕 스프 얼마나 들어가지?</t>
        </is>
      </c>
      <c r="D45" s="23" t="inlineStr">
        <is>
          <t>재료분량</t>
        </is>
      </c>
      <c r="E45" s="23" t="n">
        <v>0.7</v>
      </c>
      <c r="F45" s="23" t="n">
        <v>4.7</v>
      </c>
      <c r="G45" s="23" t="inlineStr">
        <is>
          <t>1</t>
        </is>
      </c>
      <c r="H45" s="24" t="inlineStr">
        <is>
          <t>이동현</t>
        </is>
      </c>
      <c r="I45" s="24" t="inlineStr">
        <is>
          <t>규칙생성</t>
        </is>
      </c>
    </row>
    <row r="46">
      <c r="A46" s="21" t="inlineStr">
        <is>
          <t>q026</t>
        </is>
      </c>
      <c r="B46" s="22" t="inlineStr">
        <is>
          <t>igP4-Rq5zgM</t>
        </is>
      </c>
      <c r="C46" s="22" t="inlineStr">
        <is>
          <t>다진 마늘 넣고 나서 뭐 넣어야되지?</t>
        </is>
      </c>
      <c r="D46" s="21" t="inlineStr">
        <is>
          <t>순서타이밍</t>
        </is>
      </c>
      <c r="E46" s="21" t="n">
        <v>5.7</v>
      </c>
      <c r="F46" s="21" t="n">
        <v>6.3</v>
      </c>
      <c r="G46" s="21" t="inlineStr">
        <is>
          <t>2</t>
        </is>
      </c>
      <c r="H46" s="22" t="inlineStr">
        <is>
          <t>이동현</t>
        </is>
      </c>
      <c r="I46" s="22" t="inlineStr">
        <is>
          <t>원본</t>
        </is>
      </c>
    </row>
    <row r="47">
      <c r="A47" s="23" t="inlineStr">
        <is>
          <t>q026</t>
        </is>
      </c>
      <c r="B47" s="24" t="inlineStr">
        <is>
          <t>igP4-Rq5zgM</t>
        </is>
      </c>
      <c r="C47" s="24" t="inlineStr">
        <is>
          <t>다진 마늘 넣고 나서 뭐 넣어야되지?</t>
        </is>
      </c>
      <c r="D47" s="23" t="inlineStr">
        <is>
          <t>순서타이밍</t>
        </is>
      </c>
      <c r="E47" s="23" t="n">
        <v>1.7</v>
      </c>
      <c r="F47" s="23" t="n">
        <v>5.7</v>
      </c>
      <c r="G47" s="23" t="inlineStr">
        <is>
          <t>1</t>
        </is>
      </c>
      <c r="H47" s="24" t="inlineStr">
        <is>
          <t>이동현</t>
        </is>
      </c>
      <c r="I47" s="24" t="inlineStr">
        <is>
          <t>규칙생성</t>
        </is>
      </c>
    </row>
    <row r="48">
      <c r="A48" s="21" t="inlineStr">
        <is>
          <t>q027</t>
        </is>
      </c>
      <c r="B48" s="22" t="inlineStr">
        <is>
          <t>igP4-Rq5zgM</t>
        </is>
      </c>
      <c r="C48" s="22" t="inlineStr">
        <is>
          <t>후추 뿌리는 장면 찾아줘</t>
        </is>
      </c>
      <c r="D48" s="21" t="inlineStr">
        <is>
          <t>시각적상태</t>
        </is>
      </c>
      <c r="E48" s="21" t="n">
        <v>8.9</v>
      </c>
      <c r="F48" s="21" t="n">
        <v>9.9</v>
      </c>
      <c r="G48" s="21" t="inlineStr">
        <is>
          <t>2</t>
        </is>
      </c>
      <c r="H48" s="22" t="inlineStr">
        <is>
          <t>이동현</t>
        </is>
      </c>
      <c r="I48" s="22" t="inlineStr">
        <is>
          <t>원본</t>
        </is>
      </c>
    </row>
    <row r="49">
      <c r="A49" s="23" t="inlineStr">
        <is>
          <t>q027</t>
        </is>
      </c>
      <c r="B49" s="24" t="inlineStr">
        <is>
          <t>igP4-Rq5zgM</t>
        </is>
      </c>
      <c r="C49" s="24" t="inlineStr">
        <is>
          <t>후추 뿌리는 장면 찾아줘</t>
        </is>
      </c>
      <c r="D49" s="23" t="inlineStr">
        <is>
          <t>시각적상태</t>
        </is>
      </c>
      <c r="E49" s="23" t="n">
        <v>4.9</v>
      </c>
      <c r="F49" s="23" t="n">
        <v>8.9</v>
      </c>
      <c r="G49" s="23" t="inlineStr">
        <is>
          <t>1</t>
        </is>
      </c>
      <c r="H49" s="24" t="inlineStr">
        <is>
          <t>이동현</t>
        </is>
      </c>
      <c r="I49" s="24" t="inlineStr">
        <is>
          <t>규칙생성</t>
        </is>
      </c>
    </row>
    <row r="50">
      <c r="A50" s="21" t="inlineStr">
        <is>
          <t>q028</t>
        </is>
      </c>
      <c r="B50" s="22" t="inlineStr">
        <is>
          <t>igP4-Rq5zgM</t>
        </is>
      </c>
      <c r="C50" s="22" t="inlineStr">
        <is>
          <t>고추장 넣는 장면이 몇 초에 있더라?</t>
        </is>
      </c>
      <c r="D50" s="21" t="inlineStr">
        <is>
          <t>시각적상태</t>
        </is>
      </c>
      <c r="E50" s="21" t="n"/>
      <c r="F50" s="21" t="n"/>
      <c r="G50" s="21" t="inlineStr">
        <is>
          <t>없음</t>
        </is>
      </c>
      <c r="H50" s="22" t="inlineStr">
        <is>
          <t>이동현</t>
        </is>
      </c>
      <c r="I50" s="22" t="inlineStr">
        <is>
          <t>원본</t>
        </is>
      </c>
    </row>
    <row r="51">
      <c r="A51" s="21" t="inlineStr">
        <is>
          <t>q029</t>
        </is>
      </c>
      <c r="B51" s="22" t="inlineStr">
        <is>
          <t>Zlo2JQzihwc</t>
        </is>
      </c>
      <c r="C51" s="22" t="inlineStr">
        <is>
          <t>짜파게티 면이 몇개나 들어가지?</t>
        </is>
      </c>
      <c r="D51" s="21" t="inlineStr">
        <is>
          <t>재료분량</t>
        </is>
      </c>
      <c r="E51" s="21" t="n">
        <v>19.3</v>
      </c>
      <c r="F51" s="21" t="n">
        <v>20</v>
      </c>
      <c r="G51" s="21" t="inlineStr">
        <is>
          <t>2</t>
        </is>
      </c>
      <c r="H51" s="22" t="inlineStr">
        <is>
          <t>이동현</t>
        </is>
      </c>
      <c r="I51" s="22" t="inlineStr">
        <is>
          <t>원본</t>
        </is>
      </c>
    </row>
    <row r="52">
      <c r="A52" s="23" t="inlineStr">
        <is>
          <t>q029</t>
        </is>
      </c>
      <c r="B52" s="24" t="inlineStr">
        <is>
          <t>Zlo2JQzihwc</t>
        </is>
      </c>
      <c r="C52" s="24" t="inlineStr">
        <is>
          <t>짜파게티 면이 몇개나 들어가지?</t>
        </is>
      </c>
      <c r="D52" s="23" t="inlineStr">
        <is>
          <t>재료분량</t>
        </is>
      </c>
      <c r="E52" s="23" t="n">
        <v>15.3</v>
      </c>
      <c r="F52" s="23" t="n">
        <v>19.3</v>
      </c>
      <c r="G52" s="23" t="inlineStr">
        <is>
          <t>1</t>
        </is>
      </c>
      <c r="H52" s="24" t="inlineStr">
        <is>
          <t>이동현</t>
        </is>
      </c>
      <c r="I52" s="24" t="inlineStr">
        <is>
          <t>규칙생성</t>
        </is>
      </c>
    </row>
    <row r="53">
      <c r="A53" s="21" t="inlineStr">
        <is>
          <t>q030</t>
        </is>
      </c>
      <c r="B53" s="22" t="inlineStr">
        <is>
          <t>Zlo2JQzihwc</t>
        </is>
      </c>
      <c r="C53" s="22" t="inlineStr">
        <is>
          <t>새우 넣고 소금 후추 간 하는게 몇 초였지?</t>
        </is>
      </c>
      <c r="D53" s="21" t="inlineStr">
        <is>
          <t>순서타이밍</t>
        </is>
      </c>
      <c r="E53" s="21" t="n">
        <v>22.9</v>
      </c>
      <c r="F53" s="21" t="n">
        <v>26</v>
      </c>
      <c r="G53" s="21" t="inlineStr">
        <is>
          <t>2</t>
        </is>
      </c>
      <c r="H53" s="22" t="inlineStr">
        <is>
          <t>이동현</t>
        </is>
      </c>
      <c r="I53" s="22" t="inlineStr">
        <is>
          <t>원본</t>
        </is>
      </c>
    </row>
    <row r="54">
      <c r="A54" s="23" t="inlineStr">
        <is>
          <t>q030</t>
        </is>
      </c>
      <c r="B54" s="24" t="inlineStr">
        <is>
          <t>Zlo2JQzihwc</t>
        </is>
      </c>
      <c r="C54" s="24" t="inlineStr">
        <is>
          <t>새우 넣고 소금 후추 간 하는게 몇 초였지?</t>
        </is>
      </c>
      <c r="D54" s="23" t="inlineStr">
        <is>
          <t>순서타이밍</t>
        </is>
      </c>
      <c r="E54" s="23" t="n">
        <v>18.9</v>
      </c>
      <c r="F54" s="23" t="n">
        <v>22.9</v>
      </c>
      <c r="G54" s="23" t="inlineStr">
        <is>
          <t>1</t>
        </is>
      </c>
      <c r="H54" s="24" t="inlineStr">
        <is>
          <t>이동현</t>
        </is>
      </c>
      <c r="I54" s="24" t="inlineStr">
        <is>
          <t>규칙생성</t>
        </is>
      </c>
    </row>
    <row r="55">
      <c r="A55" s="21" t="inlineStr">
        <is>
          <t>q031</t>
        </is>
      </c>
      <c r="B55" s="22" t="inlineStr">
        <is>
          <t>Zlo2JQzihwc</t>
        </is>
      </c>
      <c r="C55" s="22" t="inlineStr">
        <is>
          <t>익힌 면 건져넣는 장면 찾아줘</t>
        </is>
      </c>
      <c r="D55" s="21" t="inlineStr">
        <is>
          <t>시각적상태</t>
        </is>
      </c>
      <c r="E55" s="21" t="n">
        <v>39.1</v>
      </c>
      <c r="F55" s="21" t="n">
        <v>43</v>
      </c>
      <c r="G55" s="21" t="inlineStr">
        <is>
          <t>2</t>
        </is>
      </c>
      <c r="H55" s="22" t="inlineStr">
        <is>
          <t>이동현</t>
        </is>
      </c>
      <c r="I55" s="22" t="inlineStr">
        <is>
          <t>원본</t>
        </is>
      </c>
    </row>
    <row r="56">
      <c r="A56" s="23" t="inlineStr">
        <is>
          <t>q031</t>
        </is>
      </c>
      <c r="B56" s="24" t="inlineStr">
        <is>
          <t>Zlo2JQzihwc</t>
        </is>
      </c>
      <c r="C56" s="24" t="inlineStr">
        <is>
          <t>익힌 면 건져넣는 장면 찾아줘</t>
        </is>
      </c>
      <c r="D56" s="23" t="inlineStr">
        <is>
          <t>시각적상태</t>
        </is>
      </c>
      <c r="E56" s="23" t="n">
        <v>35.1</v>
      </c>
      <c r="F56" s="23" t="n">
        <v>39.1</v>
      </c>
      <c r="G56" s="23" t="inlineStr">
        <is>
          <t>1</t>
        </is>
      </c>
      <c r="H56" s="24" t="inlineStr">
        <is>
          <t>이동현</t>
        </is>
      </c>
      <c r="I56" s="24" t="inlineStr">
        <is>
          <t>규칙생성</t>
        </is>
      </c>
    </row>
    <row r="57">
      <c r="A57" s="21" t="inlineStr">
        <is>
          <t>q032</t>
        </is>
      </c>
      <c r="B57" s="22" t="inlineStr">
        <is>
          <t>Zlo2JQzihwc</t>
        </is>
      </c>
      <c r="C57" s="22" t="inlineStr">
        <is>
          <t>성시경이 맥주 같이 먹는 장면 찾아줘</t>
        </is>
      </c>
      <c r="D57" s="21" t="inlineStr">
        <is>
          <t>시각적상태</t>
        </is>
      </c>
      <c r="E57" s="21" t="n"/>
      <c r="F57" s="21" t="n"/>
      <c r="G57" s="21" t="inlineStr">
        <is>
          <t>없음</t>
        </is>
      </c>
      <c r="H57" s="22" t="inlineStr">
        <is>
          <t>이동현</t>
        </is>
      </c>
      <c r="I57" s="22" t="inlineStr">
        <is>
          <t>원본</t>
        </is>
      </c>
    </row>
    <row r="58">
      <c r="A58" s="21" t="inlineStr">
        <is>
          <t>q033</t>
        </is>
      </c>
      <c r="B58" s="22" t="inlineStr">
        <is>
          <t>SggDZVu0DPk</t>
        </is>
      </c>
      <c r="C58" s="22" t="inlineStr">
        <is>
          <t>양념 넣는 부분 보여줘</t>
        </is>
      </c>
      <c r="D58" s="21" t="inlineStr">
        <is>
          <t>순서타이밍</t>
        </is>
      </c>
      <c r="E58" s="21" t="n">
        <v>8</v>
      </c>
      <c r="F58" s="21" t="n">
        <v>14</v>
      </c>
      <c r="G58" s="21" t="inlineStr">
        <is>
          <t>2</t>
        </is>
      </c>
      <c r="H58" s="22" t="inlineStr">
        <is>
          <t>박현준</t>
        </is>
      </c>
      <c r="I58" s="22" t="inlineStr">
        <is>
          <t>원본</t>
        </is>
      </c>
    </row>
    <row r="59">
      <c r="A59" s="23" t="inlineStr">
        <is>
          <t>q033</t>
        </is>
      </c>
      <c r="B59" s="24" t="inlineStr">
        <is>
          <t>SggDZVu0DPk</t>
        </is>
      </c>
      <c r="C59" s="24" t="inlineStr">
        <is>
          <t>양념 넣는 부분 보여줘</t>
        </is>
      </c>
      <c r="D59" s="23" t="inlineStr">
        <is>
          <t>순서타이밍</t>
        </is>
      </c>
      <c r="E59" s="23" t="n">
        <v>4</v>
      </c>
      <c r="F59" s="23" t="n">
        <v>8</v>
      </c>
      <c r="G59" s="23" t="inlineStr">
        <is>
          <t>1</t>
        </is>
      </c>
      <c r="H59" s="24" t="inlineStr">
        <is>
          <t>박현준</t>
        </is>
      </c>
      <c r="I59" s="24" t="inlineStr">
        <is>
          <t>규칙생성</t>
        </is>
      </c>
    </row>
    <row r="60">
      <c r="A60" s="21" t="inlineStr">
        <is>
          <t>q034</t>
        </is>
      </c>
      <c r="B60" s="22" t="inlineStr">
        <is>
          <t>SggDZVu0DPk</t>
        </is>
      </c>
      <c r="C60" s="22" t="inlineStr">
        <is>
          <t>음식이 완성된 부분 보여줘</t>
        </is>
      </c>
      <c r="D60" s="21" t="inlineStr">
        <is>
          <t>시각적상태</t>
        </is>
      </c>
      <c r="E60" s="21" t="n">
        <v>15</v>
      </c>
      <c r="F60" s="21" t="n">
        <v>17</v>
      </c>
      <c r="G60" s="21" t="inlineStr">
        <is>
          <t>2</t>
        </is>
      </c>
      <c r="H60" s="22" t="inlineStr">
        <is>
          <t>박현준</t>
        </is>
      </c>
      <c r="I60" s="22" t="inlineStr">
        <is>
          <t>원본</t>
        </is>
      </c>
    </row>
    <row r="61">
      <c r="A61" s="23" t="inlineStr">
        <is>
          <t>q034</t>
        </is>
      </c>
      <c r="B61" s="24" t="inlineStr">
        <is>
          <t>SggDZVu0DPk</t>
        </is>
      </c>
      <c r="C61" s="24" t="inlineStr">
        <is>
          <t>음식이 완성된 부분 보여줘</t>
        </is>
      </c>
      <c r="D61" s="23" t="inlineStr">
        <is>
          <t>시각적상태</t>
        </is>
      </c>
      <c r="E61" s="23" t="n">
        <v>11</v>
      </c>
      <c r="F61" s="23" t="n">
        <v>15</v>
      </c>
      <c r="G61" s="23" t="inlineStr">
        <is>
          <t>1</t>
        </is>
      </c>
      <c r="H61" s="24" t="inlineStr">
        <is>
          <t>박현준</t>
        </is>
      </c>
      <c r="I61" s="24" t="inlineStr">
        <is>
          <t>규칙생성</t>
        </is>
      </c>
    </row>
    <row r="62">
      <c r="A62" s="21" t="inlineStr">
        <is>
          <t>q035</t>
        </is>
      </c>
      <c r="B62" s="22" t="inlineStr">
        <is>
          <t>SggDZVu0DPk</t>
        </is>
      </c>
      <c r="C62" s="22" t="inlineStr">
        <is>
          <t>물은 얼마나 넣어?</t>
        </is>
      </c>
      <c r="D62" s="21" t="inlineStr">
        <is>
          <t>재료분량</t>
        </is>
      </c>
      <c r="E62" s="21" t="n">
        <v>6</v>
      </c>
      <c r="F62" s="21" t="n">
        <v>9</v>
      </c>
      <c r="G62" s="21" t="inlineStr">
        <is>
          <t>2</t>
        </is>
      </c>
      <c r="H62" s="22" t="inlineStr">
        <is>
          <t>박현준</t>
        </is>
      </c>
      <c r="I62" s="22" t="inlineStr">
        <is>
          <t>원본</t>
        </is>
      </c>
    </row>
    <row r="63">
      <c r="A63" s="23" t="inlineStr">
        <is>
          <t>q035</t>
        </is>
      </c>
      <c r="B63" s="24" t="inlineStr">
        <is>
          <t>SggDZVu0DPk</t>
        </is>
      </c>
      <c r="C63" s="24" t="inlineStr">
        <is>
          <t>물은 얼마나 넣어?</t>
        </is>
      </c>
      <c r="D63" s="23" t="inlineStr">
        <is>
          <t>재료분량</t>
        </is>
      </c>
      <c r="E63" s="23" t="n">
        <v>2</v>
      </c>
      <c r="F63" s="23" t="n">
        <v>6</v>
      </c>
      <c r="G63" s="23" t="inlineStr">
        <is>
          <t>1</t>
        </is>
      </c>
      <c r="H63" s="24" t="inlineStr">
        <is>
          <t>박현준</t>
        </is>
      </c>
      <c r="I63" s="24" t="inlineStr">
        <is>
          <t>규칙생성</t>
        </is>
      </c>
    </row>
    <row r="64">
      <c r="A64" s="21" t="inlineStr">
        <is>
          <t>q036</t>
        </is>
      </c>
      <c r="B64" s="22" t="inlineStr">
        <is>
          <t>SggDZVu0DPk</t>
        </is>
      </c>
      <c r="C64" s="22" t="inlineStr">
        <is>
          <t>김치랑 고기의 양은 얼마나 넣어?</t>
        </is>
      </c>
      <c r="D64" s="21" t="inlineStr">
        <is>
          <t>재료분량</t>
        </is>
      </c>
      <c r="E64" s="21" t="n"/>
      <c r="F64" s="21" t="n"/>
      <c r="G64" s="21" t="inlineStr">
        <is>
          <t>없음</t>
        </is>
      </c>
      <c r="H64" s="22" t="inlineStr">
        <is>
          <t>박현준</t>
        </is>
      </c>
      <c r="I64" s="22" t="inlineStr">
        <is>
          <t>원본</t>
        </is>
      </c>
    </row>
    <row r="65">
      <c r="A65" s="21" t="inlineStr">
        <is>
          <t>q037</t>
        </is>
      </c>
      <c r="B65" s="22" t="inlineStr">
        <is>
          <t>sfPYotqyD18</t>
        </is>
      </c>
      <c r="C65" s="22" t="inlineStr">
        <is>
          <t>물은 얼마나 넣어?</t>
        </is>
      </c>
      <c r="D65" s="21" t="inlineStr">
        <is>
          <t>재료분량</t>
        </is>
      </c>
      <c r="E65" s="21" t="n">
        <v>6</v>
      </c>
      <c r="F65" s="21" t="n">
        <v>8</v>
      </c>
      <c r="G65" s="21" t="inlineStr">
        <is>
          <t>2</t>
        </is>
      </c>
      <c r="H65" s="22" t="inlineStr">
        <is>
          <t>박현준</t>
        </is>
      </c>
      <c r="I65" s="22" t="inlineStr">
        <is>
          <t>원본</t>
        </is>
      </c>
    </row>
    <row r="66">
      <c r="A66" s="23" t="inlineStr">
        <is>
          <t>q037</t>
        </is>
      </c>
      <c r="B66" s="24" t="inlineStr">
        <is>
          <t>sfPYotqyD18</t>
        </is>
      </c>
      <c r="C66" s="24" t="inlineStr">
        <is>
          <t>물은 얼마나 넣어?</t>
        </is>
      </c>
      <c r="D66" s="23" t="inlineStr">
        <is>
          <t>재료분량</t>
        </is>
      </c>
      <c r="E66" s="23" t="n">
        <v>2</v>
      </c>
      <c r="F66" s="23" t="n">
        <v>6</v>
      </c>
      <c r="G66" s="23" t="inlineStr">
        <is>
          <t>1</t>
        </is>
      </c>
      <c r="H66" s="24" t="inlineStr">
        <is>
          <t>박현준</t>
        </is>
      </c>
      <c r="I66" s="24" t="inlineStr">
        <is>
          <t>규칙생성</t>
        </is>
      </c>
    </row>
    <row r="67">
      <c r="A67" s="21" t="inlineStr">
        <is>
          <t>q038</t>
        </is>
      </c>
      <c r="B67" s="22" t="inlineStr">
        <is>
          <t>sfPYotqyD18</t>
        </is>
      </c>
      <c r="C67" s="22" t="inlineStr">
        <is>
          <t>소스는 얼마나 넣어?</t>
        </is>
      </c>
      <c r="D67" s="21" t="inlineStr">
        <is>
          <t>재료분량</t>
        </is>
      </c>
      <c r="E67" s="21" t="n">
        <v>9</v>
      </c>
      <c r="F67" s="21" t="n">
        <v>11</v>
      </c>
      <c r="G67" s="21" t="inlineStr">
        <is>
          <t>1</t>
        </is>
      </c>
      <c r="H67" s="22" t="inlineStr">
        <is>
          <t>박현준</t>
        </is>
      </c>
      <c r="I67" s="22" t="inlineStr">
        <is>
          <t>원본</t>
        </is>
      </c>
    </row>
    <row r="68">
      <c r="A68" s="21" t="inlineStr">
        <is>
          <t>q039</t>
        </is>
      </c>
      <c r="B68" s="22" t="inlineStr">
        <is>
          <t>sfPYotqyD18</t>
        </is>
      </c>
      <c r="C68" s="22" t="inlineStr">
        <is>
          <t>페퍼로니는 얼마나 넣어?</t>
        </is>
      </c>
      <c r="D68" s="21" t="inlineStr">
        <is>
          <t>재료분량</t>
        </is>
      </c>
      <c r="E68" s="21" t="n"/>
      <c r="F68" s="21" t="n"/>
      <c r="G68" s="21" t="inlineStr">
        <is>
          <t>없음</t>
        </is>
      </c>
      <c r="H68" s="22" t="inlineStr">
        <is>
          <t>박현준</t>
        </is>
      </c>
      <c r="I68" s="22" t="inlineStr">
        <is>
          <t>원본</t>
        </is>
      </c>
    </row>
    <row r="69">
      <c r="A69" s="21" t="inlineStr">
        <is>
          <t>q040</t>
        </is>
      </c>
      <c r="B69" s="22" t="inlineStr">
        <is>
          <t>Z7z0wW62obE</t>
        </is>
      </c>
      <c r="C69" s="22" t="inlineStr">
        <is>
          <t>고기는 얼마나 사용해?</t>
        </is>
      </c>
      <c r="D69" s="21" t="inlineStr">
        <is>
          <t>재료분량</t>
        </is>
      </c>
      <c r="E69" s="21" t="n">
        <v>15</v>
      </c>
      <c r="F69" s="21" t="n">
        <v>18</v>
      </c>
      <c r="G69" s="21" t="inlineStr">
        <is>
          <t>2</t>
        </is>
      </c>
      <c r="H69" s="22" t="inlineStr">
        <is>
          <t>박현준</t>
        </is>
      </c>
      <c r="I69" s="22" t="inlineStr">
        <is>
          <t>원본</t>
        </is>
      </c>
    </row>
    <row r="70">
      <c r="A70" s="23" t="inlineStr">
        <is>
          <t>q040</t>
        </is>
      </c>
      <c r="B70" s="24" t="inlineStr">
        <is>
          <t>Z7z0wW62obE</t>
        </is>
      </c>
      <c r="C70" s="24" t="inlineStr">
        <is>
          <t>고기는 얼마나 사용해?</t>
        </is>
      </c>
      <c r="D70" s="23" t="inlineStr">
        <is>
          <t>재료분량</t>
        </is>
      </c>
      <c r="E70" s="23" t="n">
        <v>11</v>
      </c>
      <c r="F70" s="23" t="n">
        <v>15</v>
      </c>
      <c r="G70" s="23" t="inlineStr">
        <is>
          <t>1</t>
        </is>
      </c>
      <c r="H70" s="24" t="inlineStr">
        <is>
          <t>박현준</t>
        </is>
      </c>
      <c r="I70" s="24" t="inlineStr">
        <is>
          <t>규칙생성</t>
        </is>
      </c>
    </row>
    <row r="71">
      <c r="A71" s="21" t="inlineStr">
        <is>
          <t>q041</t>
        </is>
      </c>
      <c r="B71" s="22" t="inlineStr">
        <is>
          <t>Z7z0wW62obE</t>
        </is>
      </c>
      <c r="C71" s="22" t="inlineStr">
        <is>
          <t>고기에 전분은 얼마나 묻혀?</t>
        </is>
      </c>
      <c r="D71" s="21" t="inlineStr">
        <is>
          <t>시각적상태</t>
        </is>
      </c>
      <c r="E71" s="21" t="n">
        <v>20</v>
      </c>
      <c r="F71" s="21" t="n">
        <v>23</v>
      </c>
      <c r="G71" s="21" t="inlineStr">
        <is>
          <t>2</t>
        </is>
      </c>
      <c r="H71" s="22" t="inlineStr">
        <is>
          <t>박현준</t>
        </is>
      </c>
      <c r="I71" s="22" t="inlineStr">
        <is>
          <t>원본</t>
        </is>
      </c>
    </row>
    <row r="72">
      <c r="A72" s="23" t="inlineStr">
        <is>
          <t>q041</t>
        </is>
      </c>
      <c r="B72" s="24" t="inlineStr">
        <is>
          <t>Z7z0wW62obE</t>
        </is>
      </c>
      <c r="C72" s="24" t="inlineStr">
        <is>
          <t>고기에 전분은 얼마나 묻혀?</t>
        </is>
      </c>
      <c r="D72" s="23" t="inlineStr">
        <is>
          <t>시각적상태</t>
        </is>
      </c>
      <c r="E72" s="23" t="n">
        <v>16</v>
      </c>
      <c r="F72" s="23" t="n">
        <v>20</v>
      </c>
      <c r="G72" s="23" t="inlineStr">
        <is>
          <t>1</t>
        </is>
      </c>
      <c r="H72" s="24" t="inlineStr">
        <is>
          <t>박현준</t>
        </is>
      </c>
      <c r="I72" s="24" t="inlineStr">
        <is>
          <t>규칙생성</t>
        </is>
      </c>
    </row>
    <row r="73">
      <c r="A73" s="21" t="inlineStr">
        <is>
          <t>q042</t>
        </is>
      </c>
      <c r="B73" s="22" t="inlineStr">
        <is>
          <t>Z7z0wW62obE</t>
        </is>
      </c>
      <c r="C73" s="22" t="inlineStr">
        <is>
          <t>고추장은 얼마나 사용해?</t>
        </is>
      </c>
      <c r="D73" s="21" t="inlineStr">
        <is>
          <t>재료분량</t>
        </is>
      </c>
      <c r="E73" s="21" t="n"/>
      <c r="F73" s="21" t="n"/>
      <c r="G73" s="21" t="inlineStr">
        <is>
          <t>없음</t>
        </is>
      </c>
      <c r="H73" s="22" t="inlineStr">
        <is>
          <t>박현준</t>
        </is>
      </c>
      <c r="I73" s="22" t="inlineStr">
        <is>
          <t>원본</t>
        </is>
      </c>
    </row>
    <row r="74">
      <c r="A74" s="21" t="inlineStr">
        <is>
          <t>q043</t>
        </is>
      </c>
      <c r="B74" s="22" t="inlineStr">
        <is>
          <t>Z7z0wW62obE</t>
        </is>
      </c>
      <c r="C74" s="22" t="inlineStr">
        <is>
          <t>고기 몇 분동안 구워?</t>
        </is>
      </c>
      <c r="D74" s="21" t="inlineStr">
        <is>
          <t>순서타이밍</t>
        </is>
      </c>
      <c r="E74" s="21" t="n">
        <v>40</v>
      </c>
      <c r="F74" s="21" t="n">
        <v>45</v>
      </c>
      <c r="G74" s="21" t="inlineStr">
        <is>
          <t>2</t>
        </is>
      </c>
      <c r="H74" s="22" t="inlineStr">
        <is>
          <t>박현준</t>
        </is>
      </c>
      <c r="I74" s="22" t="inlineStr">
        <is>
          <t>원본</t>
        </is>
      </c>
    </row>
    <row r="75">
      <c r="A75" s="23" t="inlineStr">
        <is>
          <t>q043</t>
        </is>
      </c>
      <c r="B75" s="24" t="inlineStr">
        <is>
          <t>Z7z0wW62obE</t>
        </is>
      </c>
      <c r="C75" s="24" t="inlineStr">
        <is>
          <t>고기 몇 분동안 구워?</t>
        </is>
      </c>
      <c r="D75" s="23" t="inlineStr">
        <is>
          <t>순서타이밍</t>
        </is>
      </c>
      <c r="E75" s="23" t="n">
        <v>36</v>
      </c>
      <c r="F75" s="23" t="n">
        <v>40</v>
      </c>
      <c r="G75" s="23" t="inlineStr">
        <is>
          <t>1</t>
        </is>
      </c>
      <c r="H75" s="24" t="inlineStr">
        <is>
          <t>박현준</t>
        </is>
      </c>
      <c r="I75" s="24" t="inlineStr">
        <is>
          <t>규칙생성</t>
        </is>
      </c>
    </row>
    <row r="76">
      <c r="A76" s="21" t="inlineStr">
        <is>
          <t>q044</t>
        </is>
      </c>
      <c r="B76" s="22" t="inlineStr">
        <is>
          <t>Z7z0wW62obE</t>
        </is>
      </c>
      <c r="C76" s="22" t="inlineStr">
        <is>
          <t>소스가 충분히 졸아든 장면 보여줘</t>
        </is>
      </c>
      <c r="D76" s="21" t="inlineStr">
        <is>
          <t>시각적상태</t>
        </is>
      </c>
      <c r="E76" s="21" t="n">
        <v>48</v>
      </c>
      <c r="F76" s="21" t="n">
        <v>50</v>
      </c>
      <c r="G76" s="21" t="inlineStr">
        <is>
          <t>2</t>
        </is>
      </c>
      <c r="H76" s="22" t="inlineStr">
        <is>
          <t>박현준</t>
        </is>
      </c>
      <c r="I76" s="22" t="inlineStr">
        <is>
          <t>원본</t>
        </is>
      </c>
    </row>
    <row r="77">
      <c r="A77" s="23" t="inlineStr">
        <is>
          <t>q044</t>
        </is>
      </c>
      <c r="B77" s="24" t="inlineStr">
        <is>
          <t>Z7z0wW62obE</t>
        </is>
      </c>
      <c r="C77" s="24" t="inlineStr">
        <is>
          <t>소스가 충분히 졸아든 장면 보여줘</t>
        </is>
      </c>
      <c r="D77" s="23" t="inlineStr">
        <is>
          <t>시각적상태</t>
        </is>
      </c>
      <c r="E77" s="23" t="n">
        <v>44</v>
      </c>
      <c r="F77" s="23" t="n">
        <v>48</v>
      </c>
      <c r="G77" s="23" t="inlineStr">
        <is>
          <t>1</t>
        </is>
      </c>
      <c r="H77" s="24" t="inlineStr">
        <is>
          <t>박현준</t>
        </is>
      </c>
      <c r="I77" s="24" t="inlineStr">
        <is>
          <t>규칙생성</t>
        </is>
      </c>
    </row>
    <row r="78">
      <c r="A78" s="21" t="inlineStr">
        <is>
          <t>q045</t>
        </is>
      </c>
      <c r="B78" s="22" t="inlineStr">
        <is>
          <t>Rjfzpzj3bug</t>
        </is>
      </c>
      <c r="C78" s="22" t="inlineStr">
        <is>
          <t>전자레인지 몇 분 사용해?</t>
        </is>
      </c>
      <c r="D78" s="21" t="inlineStr">
        <is>
          <t>순서타이밍</t>
        </is>
      </c>
      <c r="E78" s="21" t="n">
        <v>5</v>
      </c>
      <c r="F78" s="21" t="n">
        <v>7</v>
      </c>
      <c r="G78" s="21" t="inlineStr">
        <is>
          <t>2</t>
        </is>
      </c>
      <c r="H78" s="22" t="inlineStr">
        <is>
          <t>박현준</t>
        </is>
      </c>
      <c r="I78" s="22" t="inlineStr">
        <is>
          <t>원본</t>
        </is>
      </c>
    </row>
    <row r="79">
      <c r="A79" s="23" t="inlineStr">
        <is>
          <t>q045</t>
        </is>
      </c>
      <c r="B79" s="24" t="inlineStr">
        <is>
          <t>Rjfzpzj3bug</t>
        </is>
      </c>
      <c r="C79" s="24" t="inlineStr">
        <is>
          <t>전자레인지 몇 분 사용해?</t>
        </is>
      </c>
      <c r="D79" s="23" t="inlineStr">
        <is>
          <t>순서타이밍</t>
        </is>
      </c>
      <c r="E79" s="23" t="n">
        <v>1</v>
      </c>
      <c r="F79" s="23" t="n">
        <v>5</v>
      </c>
      <c r="G79" s="23" t="inlineStr">
        <is>
          <t>1</t>
        </is>
      </c>
      <c r="H79" s="24" t="inlineStr">
        <is>
          <t>박현준</t>
        </is>
      </c>
      <c r="I79" s="24" t="inlineStr">
        <is>
          <t>규칙생성</t>
        </is>
      </c>
    </row>
    <row r="80">
      <c r="A80" s="21" t="inlineStr">
        <is>
          <t>q046</t>
        </is>
      </c>
      <c r="B80" s="22" t="inlineStr">
        <is>
          <t>Rjfzpzj3bug</t>
        </is>
      </c>
      <c r="C80" s="22" t="inlineStr">
        <is>
          <t>에어프라이어기에 얼마나 구워?</t>
        </is>
      </c>
      <c r="D80" s="21" t="inlineStr">
        <is>
          <t>순서타이밍</t>
        </is>
      </c>
      <c r="E80" s="21" t="n"/>
      <c r="F80" s="21" t="n"/>
      <c r="G80" s="21" t="inlineStr">
        <is>
          <t>없음</t>
        </is>
      </c>
      <c r="H80" s="22" t="inlineStr">
        <is>
          <t>박현준</t>
        </is>
      </c>
      <c r="I80" s="22" t="inlineStr">
        <is>
          <t>원본</t>
        </is>
      </c>
    </row>
    <row r="81">
      <c r="A81" s="21" t="inlineStr">
        <is>
          <t>q047</t>
        </is>
      </c>
      <c r="B81" s="22" t="inlineStr">
        <is>
          <t>Rjfzpzj3bug</t>
        </is>
      </c>
      <c r="C81" s="22" t="inlineStr">
        <is>
          <t>소스 레시피 알려줘</t>
        </is>
      </c>
      <c r="D81" s="21" t="inlineStr">
        <is>
          <t>순서타이밍</t>
        </is>
      </c>
      <c r="E81" s="21" t="n">
        <v>16</v>
      </c>
      <c r="F81" s="21" t="n">
        <v>19</v>
      </c>
      <c r="G81" s="21" t="inlineStr">
        <is>
          <t>2</t>
        </is>
      </c>
      <c r="H81" s="22" t="inlineStr">
        <is>
          <t>박현준</t>
        </is>
      </c>
      <c r="I81" s="22" t="inlineStr">
        <is>
          <t>원본</t>
        </is>
      </c>
    </row>
    <row r="82">
      <c r="A82" s="23" t="inlineStr">
        <is>
          <t>q047</t>
        </is>
      </c>
      <c r="B82" s="24" t="inlineStr">
        <is>
          <t>Rjfzpzj3bug</t>
        </is>
      </c>
      <c r="C82" s="24" t="inlineStr">
        <is>
          <t>소스 레시피 알려줘</t>
        </is>
      </c>
      <c r="D82" s="23" t="inlineStr">
        <is>
          <t>순서타이밍</t>
        </is>
      </c>
      <c r="E82" s="23" t="n">
        <v>12</v>
      </c>
      <c r="F82" s="23" t="n">
        <v>16</v>
      </c>
      <c r="G82" s="23" t="inlineStr">
        <is>
          <t>1</t>
        </is>
      </c>
      <c r="H82" s="24" t="inlineStr">
        <is>
          <t>박현준</t>
        </is>
      </c>
      <c r="I82" s="24" t="inlineStr">
        <is>
          <t>규칙생성</t>
        </is>
      </c>
    </row>
    <row r="83">
      <c r="A83" s="21" t="inlineStr">
        <is>
          <t>q048</t>
        </is>
      </c>
      <c r="B83" s="22" t="inlineStr">
        <is>
          <t>Rjfzpzj3bug</t>
        </is>
      </c>
      <c r="C83" s="22" t="inlineStr">
        <is>
          <t>재료 소개하는 부분 보여줘</t>
        </is>
      </c>
      <c r="D83" s="21" t="inlineStr">
        <is>
          <t>순서타이밍</t>
        </is>
      </c>
      <c r="E83" s="21" t="n">
        <v>7</v>
      </c>
      <c r="F83" s="21" t="n">
        <v>10</v>
      </c>
      <c r="G83" s="21" t="inlineStr">
        <is>
          <t>2</t>
        </is>
      </c>
      <c r="H83" s="22" t="inlineStr">
        <is>
          <t>박현준</t>
        </is>
      </c>
      <c r="I83" s="22" t="inlineStr">
        <is>
          <t>원본</t>
        </is>
      </c>
    </row>
    <row r="84">
      <c r="A84" s="23" t="inlineStr">
        <is>
          <t>q048</t>
        </is>
      </c>
      <c r="B84" s="24" t="inlineStr">
        <is>
          <t>Rjfzpzj3bug</t>
        </is>
      </c>
      <c r="C84" s="24" t="inlineStr">
        <is>
          <t>재료 소개하는 부분 보여줘</t>
        </is>
      </c>
      <c r="D84" s="23" t="inlineStr">
        <is>
          <t>순서타이밍</t>
        </is>
      </c>
      <c r="E84" s="23" t="n">
        <v>3</v>
      </c>
      <c r="F84" s="23" t="n">
        <v>7</v>
      </c>
      <c r="G84" s="23" t="inlineStr">
        <is>
          <t>1</t>
        </is>
      </c>
      <c r="H84" s="24" t="inlineStr">
        <is>
          <t>박현준</t>
        </is>
      </c>
      <c r="I84" s="24" t="inlineStr">
        <is>
          <t>규칙생성</t>
        </is>
      </c>
    </row>
    <row r="85">
      <c r="A85" s="21" t="inlineStr">
        <is>
          <t>q049</t>
        </is>
      </c>
      <c r="B85" s="22" t="inlineStr">
        <is>
          <t>4due-wU9NFk</t>
        </is>
      </c>
      <c r="C85" s="22" t="inlineStr">
        <is>
          <t>대파를 언제 넣어?</t>
        </is>
      </c>
      <c r="D85" s="21" t="inlineStr">
        <is>
          <t>순서타이밍</t>
        </is>
      </c>
      <c r="E85" s="21" t="n">
        <v>16</v>
      </c>
      <c r="F85" s="21" t="n">
        <v>20</v>
      </c>
      <c r="G85" s="21" t="inlineStr">
        <is>
          <t>2</t>
        </is>
      </c>
      <c r="H85" s="22" t="inlineStr">
        <is>
          <t>이태연</t>
        </is>
      </c>
      <c r="I85" s="22" t="inlineStr">
        <is>
          <t>원본</t>
        </is>
      </c>
    </row>
    <row r="86">
      <c r="A86" s="23" t="inlineStr">
        <is>
          <t>q049</t>
        </is>
      </c>
      <c r="B86" s="24" t="inlineStr">
        <is>
          <t>4due-wU9NFk</t>
        </is>
      </c>
      <c r="C86" s="24" t="inlineStr">
        <is>
          <t>대파를 언제 넣어?</t>
        </is>
      </c>
      <c r="D86" s="23" t="inlineStr">
        <is>
          <t>순서타이밍</t>
        </is>
      </c>
      <c r="E86" s="23" t="n">
        <v>12</v>
      </c>
      <c r="F86" s="23" t="n">
        <v>16</v>
      </c>
      <c r="G86" s="23" t="inlineStr">
        <is>
          <t>1</t>
        </is>
      </c>
      <c r="H86" s="24" t="inlineStr">
        <is>
          <t>이태연</t>
        </is>
      </c>
      <c r="I86" s="24" t="inlineStr">
        <is>
          <t>규칙생성</t>
        </is>
      </c>
    </row>
    <row r="87">
      <c r="A87" s="21" t="inlineStr">
        <is>
          <t>q050</t>
        </is>
      </c>
      <c r="B87" s="22" t="inlineStr">
        <is>
          <t>4due-wU9NFk</t>
        </is>
      </c>
      <c r="C87" s="22" t="inlineStr">
        <is>
          <t>물을 얼마나 넣어?</t>
        </is>
      </c>
      <c r="D87" s="21" t="inlineStr">
        <is>
          <t>재료분량</t>
        </is>
      </c>
      <c r="E87" s="21" t="n">
        <v>35</v>
      </c>
      <c r="F87" s="21" t="n">
        <v>41</v>
      </c>
      <c r="G87" s="21" t="inlineStr">
        <is>
          <t>2</t>
        </is>
      </c>
      <c r="H87" s="22" t="inlineStr">
        <is>
          <t>이태연</t>
        </is>
      </c>
      <c r="I87" s="22" t="inlineStr">
        <is>
          <t>원본</t>
        </is>
      </c>
    </row>
    <row r="88">
      <c r="A88" s="23" t="inlineStr">
        <is>
          <t>q050</t>
        </is>
      </c>
      <c r="B88" s="24" t="inlineStr">
        <is>
          <t>4due-wU9NFk</t>
        </is>
      </c>
      <c r="C88" s="24" t="inlineStr">
        <is>
          <t>물을 얼마나 넣어?</t>
        </is>
      </c>
      <c r="D88" s="23" t="inlineStr">
        <is>
          <t>재료분량</t>
        </is>
      </c>
      <c r="E88" s="23" t="n">
        <v>31</v>
      </c>
      <c r="F88" s="23" t="n">
        <v>35</v>
      </c>
      <c r="G88" s="23" t="inlineStr">
        <is>
          <t>1</t>
        </is>
      </c>
      <c r="H88" s="24" t="inlineStr">
        <is>
          <t>이태연</t>
        </is>
      </c>
      <c r="I88" s="24" t="inlineStr">
        <is>
          <t>규칙생성</t>
        </is>
      </c>
    </row>
    <row r="89">
      <c r="A89" s="21" t="inlineStr">
        <is>
          <t>q051</t>
        </is>
      </c>
      <c r="B89" s="22" t="inlineStr">
        <is>
          <t>4due-wU9NFk</t>
        </is>
      </c>
      <c r="C89" s="22" t="inlineStr">
        <is>
          <t>삼겹살은 얼마나 구워?</t>
        </is>
      </c>
      <c r="D89" s="21" t="inlineStr">
        <is>
          <t>재료분량</t>
        </is>
      </c>
      <c r="E89" s="21" t="n">
        <v>4</v>
      </c>
      <c r="F89" s="21" t="n">
        <v>6</v>
      </c>
      <c r="G89" s="21" t="inlineStr">
        <is>
          <t>2</t>
        </is>
      </c>
      <c r="H89" s="22" t="inlineStr">
        <is>
          <t>이태연</t>
        </is>
      </c>
      <c r="I89" s="22" t="inlineStr">
        <is>
          <t>원본</t>
        </is>
      </c>
    </row>
    <row r="90">
      <c r="A90" s="23" t="inlineStr">
        <is>
          <t>q051</t>
        </is>
      </c>
      <c r="B90" s="24" t="inlineStr">
        <is>
          <t>4due-wU9NFk</t>
        </is>
      </c>
      <c r="C90" s="24" t="inlineStr">
        <is>
          <t>삼겹살은 얼마나 구워?</t>
        </is>
      </c>
      <c r="D90" s="23" t="inlineStr">
        <is>
          <t>재료분량</t>
        </is>
      </c>
      <c r="E90" s="23" t="n">
        <v>0</v>
      </c>
      <c r="F90" s="23" t="n">
        <v>4</v>
      </c>
      <c r="G90" s="23" t="inlineStr">
        <is>
          <t>1</t>
        </is>
      </c>
      <c r="H90" s="24" t="inlineStr">
        <is>
          <t>이태연</t>
        </is>
      </c>
      <c r="I90" s="24" t="inlineStr">
        <is>
          <t>규칙생성</t>
        </is>
      </c>
    </row>
    <row r="91">
      <c r="A91" s="21" t="inlineStr">
        <is>
          <t>q052</t>
        </is>
      </c>
      <c r="B91" s="22" t="inlineStr">
        <is>
          <t>4due-wU9NFk</t>
        </is>
      </c>
      <c r="C91" s="22" t="inlineStr">
        <is>
          <t>고추장 얼마나 넣어?</t>
        </is>
      </c>
      <c r="D91" s="21" t="inlineStr">
        <is>
          <t>재료분량</t>
        </is>
      </c>
      <c r="E91" s="21" t="n"/>
      <c r="F91" s="21" t="n"/>
      <c r="G91" s="21" t="inlineStr">
        <is>
          <t>없음</t>
        </is>
      </c>
      <c r="H91" s="22" t="inlineStr">
        <is>
          <t>이태연</t>
        </is>
      </c>
      <c r="I91" s="22" t="inlineStr">
        <is>
          <t>원본</t>
        </is>
      </c>
    </row>
    <row r="92">
      <c r="A92" s="21" t="inlineStr">
        <is>
          <t>q053</t>
        </is>
      </c>
      <c r="B92" s="22" t="inlineStr">
        <is>
          <t>c5dmr5AQat0</t>
        </is>
      </c>
      <c r="C92" s="22" t="inlineStr">
        <is>
          <t>설탕은 얼마나 넣어?</t>
        </is>
      </c>
      <c r="D92" s="21" t="inlineStr">
        <is>
          <t>재료분량</t>
        </is>
      </c>
      <c r="E92" s="21" t="n">
        <v>14</v>
      </c>
      <c r="F92" s="21" t="n">
        <v>16</v>
      </c>
      <c r="G92" s="21" t="inlineStr">
        <is>
          <t>2</t>
        </is>
      </c>
      <c r="H92" s="22" t="inlineStr">
        <is>
          <t>이태연</t>
        </is>
      </c>
      <c r="I92" s="22" t="inlineStr">
        <is>
          <t>원본</t>
        </is>
      </c>
    </row>
    <row r="93">
      <c r="A93" s="23" t="inlineStr">
        <is>
          <t>q053</t>
        </is>
      </c>
      <c r="B93" s="24" t="inlineStr">
        <is>
          <t>c5dmr5AQat0</t>
        </is>
      </c>
      <c r="C93" s="24" t="inlineStr">
        <is>
          <t>설탕은 얼마나 넣어?</t>
        </is>
      </c>
      <c r="D93" s="23" t="inlineStr">
        <is>
          <t>재료분량</t>
        </is>
      </c>
      <c r="E93" s="23" t="n">
        <v>10</v>
      </c>
      <c r="F93" s="23" t="n">
        <v>14</v>
      </c>
      <c r="G93" s="23" t="inlineStr">
        <is>
          <t>1</t>
        </is>
      </c>
      <c r="H93" s="24" t="inlineStr">
        <is>
          <t>이태연</t>
        </is>
      </c>
      <c r="I93" s="24" t="inlineStr">
        <is>
          <t>규칙생성</t>
        </is>
      </c>
    </row>
    <row r="94">
      <c r="A94" s="21" t="inlineStr">
        <is>
          <t>q054</t>
        </is>
      </c>
      <c r="B94" s="22" t="inlineStr">
        <is>
          <t>c5dmr5AQat0</t>
        </is>
      </c>
      <c r="C94" s="22" t="inlineStr">
        <is>
          <t>채소는 언제부터 넣어?</t>
        </is>
      </c>
      <c r="D94" s="21" t="inlineStr">
        <is>
          <t>순서타이밍</t>
        </is>
      </c>
      <c r="E94" s="21" t="n">
        <v>26</v>
      </c>
      <c r="F94" s="21" t="n">
        <v>42</v>
      </c>
      <c r="G94" s="21" t="inlineStr">
        <is>
          <t>1</t>
        </is>
      </c>
      <c r="H94" s="22" t="inlineStr">
        <is>
          <t>이태연</t>
        </is>
      </c>
      <c r="I94" s="22" t="inlineStr">
        <is>
          <t>원본</t>
        </is>
      </c>
    </row>
    <row r="95">
      <c r="A95" s="21" t="inlineStr">
        <is>
          <t>q055</t>
        </is>
      </c>
      <c r="B95" s="22" t="inlineStr">
        <is>
          <t>c5dmr5AQat0</t>
        </is>
      </c>
      <c r="C95" s="22" t="inlineStr">
        <is>
          <t>후추는 언제 넣어?</t>
        </is>
      </c>
      <c r="D95" s="21" t="inlineStr">
        <is>
          <t>순서타이밍</t>
        </is>
      </c>
      <c r="E95" s="21" t="n">
        <v>47</v>
      </c>
      <c r="F95" s="21" t="n">
        <v>48</v>
      </c>
      <c r="G95" s="21" t="inlineStr">
        <is>
          <t>2</t>
        </is>
      </c>
      <c r="H95" s="22" t="inlineStr">
        <is>
          <t>이태연</t>
        </is>
      </c>
      <c r="I95" s="22" t="inlineStr">
        <is>
          <t>원본</t>
        </is>
      </c>
    </row>
    <row r="96">
      <c r="A96" s="23" t="inlineStr">
        <is>
          <t>q055</t>
        </is>
      </c>
      <c r="B96" s="24" t="inlineStr">
        <is>
          <t>c5dmr5AQat0</t>
        </is>
      </c>
      <c r="C96" s="24" t="inlineStr">
        <is>
          <t>후추는 언제 넣어?</t>
        </is>
      </c>
      <c r="D96" s="23" t="inlineStr">
        <is>
          <t>순서타이밍</t>
        </is>
      </c>
      <c r="E96" s="23" t="n">
        <v>43</v>
      </c>
      <c r="F96" s="23" t="n">
        <v>47</v>
      </c>
      <c r="G96" s="23" t="inlineStr">
        <is>
          <t>1</t>
        </is>
      </c>
      <c r="H96" s="24" t="inlineStr">
        <is>
          <t>이태연</t>
        </is>
      </c>
      <c r="I96" s="24" t="inlineStr">
        <is>
          <t>규칙생성</t>
        </is>
      </c>
    </row>
    <row r="97">
      <c r="A97" s="21" t="inlineStr">
        <is>
          <t>q056</t>
        </is>
      </c>
      <c r="B97" s="22" t="inlineStr">
        <is>
          <t>c5dmr5AQat0</t>
        </is>
      </c>
      <c r="C97" s="22" t="inlineStr">
        <is>
          <t>닭은 얼마나 노릇노릇하게 익혀?</t>
        </is>
      </c>
      <c r="D97" s="21" t="inlineStr">
        <is>
          <t>시각적상태</t>
        </is>
      </c>
      <c r="E97" s="21" t="n">
        <v>12</v>
      </c>
      <c r="F97" s="21" t="n">
        <v>14</v>
      </c>
      <c r="G97" s="21" t="inlineStr">
        <is>
          <t>2</t>
        </is>
      </c>
      <c r="H97" s="22" t="inlineStr">
        <is>
          <t>이태연</t>
        </is>
      </c>
      <c r="I97" s="22" t="inlineStr">
        <is>
          <t>원본</t>
        </is>
      </c>
    </row>
    <row r="98">
      <c r="A98" s="23" t="inlineStr">
        <is>
          <t>q056</t>
        </is>
      </c>
      <c r="B98" s="24" t="inlineStr">
        <is>
          <t>c5dmr5AQat0</t>
        </is>
      </c>
      <c r="C98" s="24" t="inlineStr">
        <is>
          <t>닭은 얼마나 노릇노릇하게 익혀?</t>
        </is>
      </c>
      <c r="D98" s="23" t="inlineStr">
        <is>
          <t>시각적상태</t>
        </is>
      </c>
      <c r="E98" s="23" t="n">
        <v>8</v>
      </c>
      <c r="F98" s="23" t="n">
        <v>12</v>
      </c>
      <c r="G98" s="23" t="inlineStr">
        <is>
          <t>1</t>
        </is>
      </c>
      <c r="H98" s="24" t="inlineStr">
        <is>
          <t>이태연</t>
        </is>
      </c>
      <c r="I98" s="24" t="inlineStr">
        <is>
          <t>규칙생성</t>
        </is>
      </c>
    </row>
    <row r="99">
      <c r="A99" s="21" t="inlineStr">
        <is>
          <t>q057</t>
        </is>
      </c>
      <c r="B99" s="22" t="inlineStr">
        <is>
          <t>l3WthBEFzFw</t>
        </is>
      </c>
      <c r="C99" s="22" t="inlineStr">
        <is>
          <t>감자는 얼마나 넣어?</t>
        </is>
      </c>
      <c r="D99" s="21" t="inlineStr">
        <is>
          <t>재료분량</t>
        </is>
      </c>
      <c r="E99" s="21" t="n">
        <v>4</v>
      </c>
      <c r="F99" s="21" t="n">
        <v>6</v>
      </c>
      <c r="G99" s="21" t="inlineStr">
        <is>
          <t>2</t>
        </is>
      </c>
      <c r="H99" s="22" t="inlineStr">
        <is>
          <t>이태연</t>
        </is>
      </c>
      <c r="I99" s="22" t="inlineStr">
        <is>
          <t>원본</t>
        </is>
      </c>
    </row>
    <row r="100">
      <c r="A100" s="23" t="inlineStr">
        <is>
          <t>q057</t>
        </is>
      </c>
      <c r="B100" s="24" t="inlineStr">
        <is>
          <t>l3WthBEFzFw</t>
        </is>
      </c>
      <c r="C100" s="24" t="inlineStr">
        <is>
          <t>감자는 얼마나 넣어?</t>
        </is>
      </c>
      <c r="D100" s="23" t="inlineStr">
        <is>
          <t>재료분량</t>
        </is>
      </c>
      <c r="E100" s="23" t="n">
        <v>0</v>
      </c>
      <c r="F100" s="23" t="n">
        <v>4</v>
      </c>
      <c r="G100" s="23" t="inlineStr">
        <is>
          <t>1</t>
        </is>
      </c>
      <c r="H100" s="24" t="inlineStr">
        <is>
          <t>이태연</t>
        </is>
      </c>
      <c r="I100" s="24" t="inlineStr">
        <is>
          <t>규칙생성</t>
        </is>
      </c>
    </row>
    <row r="101">
      <c r="A101" s="21" t="inlineStr">
        <is>
          <t>q058</t>
        </is>
      </c>
      <c r="B101" s="22" t="inlineStr">
        <is>
          <t>l3WthBEFzFw</t>
        </is>
      </c>
      <c r="C101" s="22" t="inlineStr">
        <is>
          <t>전분은 언제 빼?</t>
        </is>
      </c>
      <c r="D101" s="21" t="inlineStr">
        <is>
          <t>순서타이밍</t>
        </is>
      </c>
      <c r="E101" s="21" t="n">
        <v>16</v>
      </c>
      <c r="F101" s="21" t="n">
        <v>20</v>
      </c>
      <c r="G101" s="21" t="inlineStr">
        <is>
          <t>2</t>
        </is>
      </c>
      <c r="H101" s="22" t="inlineStr">
        <is>
          <t>이태연</t>
        </is>
      </c>
      <c r="I101" s="22" t="inlineStr">
        <is>
          <t>원본</t>
        </is>
      </c>
    </row>
    <row r="102">
      <c r="A102" s="23" t="inlineStr">
        <is>
          <t>q058</t>
        </is>
      </c>
      <c r="B102" s="24" t="inlineStr">
        <is>
          <t>l3WthBEFzFw</t>
        </is>
      </c>
      <c r="C102" s="24" t="inlineStr">
        <is>
          <t>전분은 언제 빼?</t>
        </is>
      </c>
      <c r="D102" s="23" t="inlineStr">
        <is>
          <t>순서타이밍</t>
        </is>
      </c>
      <c r="E102" s="23" t="n">
        <v>12</v>
      </c>
      <c r="F102" s="23" t="n">
        <v>16</v>
      </c>
      <c r="G102" s="23" t="inlineStr">
        <is>
          <t>1</t>
        </is>
      </c>
      <c r="H102" s="24" t="inlineStr">
        <is>
          <t>이태연</t>
        </is>
      </c>
      <c r="I102" s="24" t="inlineStr">
        <is>
          <t>규칙생성</t>
        </is>
      </c>
    </row>
    <row r="103">
      <c r="A103" s="21" t="inlineStr">
        <is>
          <t>q059</t>
        </is>
      </c>
      <c r="B103" s="22" t="inlineStr">
        <is>
          <t>l3WthBEFzFw</t>
        </is>
      </c>
      <c r="C103" s="22" t="inlineStr">
        <is>
          <t>감자는 얼마나 볶아?</t>
        </is>
      </c>
      <c r="D103" s="21" t="inlineStr">
        <is>
          <t>시각적상태</t>
        </is>
      </c>
      <c r="E103" s="21" t="n">
        <v>30</v>
      </c>
      <c r="F103" s="21" t="n">
        <v>33</v>
      </c>
      <c r="G103" s="21" t="inlineStr">
        <is>
          <t>2</t>
        </is>
      </c>
      <c r="H103" s="22" t="inlineStr">
        <is>
          <t>이태연</t>
        </is>
      </c>
      <c r="I103" s="22" t="inlineStr">
        <is>
          <t>원본</t>
        </is>
      </c>
    </row>
    <row r="104">
      <c r="A104" s="23" t="inlineStr">
        <is>
          <t>q059</t>
        </is>
      </c>
      <c r="B104" s="24" t="inlineStr">
        <is>
          <t>l3WthBEFzFw</t>
        </is>
      </c>
      <c r="C104" s="24" t="inlineStr">
        <is>
          <t>감자는 얼마나 볶아?</t>
        </is>
      </c>
      <c r="D104" s="23" t="inlineStr">
        <is>
          <t>시각적상태</t>
        </is>
      </c>
      <c r="E104" s="23" t="n">
        <v>26</v>
      </c>
      <c r="F104" s="23" t="n">
        <v>30</v>
      </c>
      <c r="G104" s="23" t="inlineStr">
        <is>
          <t>1</t>
        </is>
      </c>
      <c r="H104" s="24" t="inlineStr">
        <is>
          <t>이태연</t>
        </is>
      </c>
      <c r="I104" s="24" t="inlineStr">
        <is>
          <t>규칙생성</t>
        </is>
      </c>
    </row>
    <row r="105">
      <c r="A105" s="21" t="inlineStr">
        <is>
          <t>q060</t>
        </is>
      </c>
      <c r="B105" s="22" t="inlineStr">
        <is>
          <t>l3WthBEFzFw</t>
        </is>
      </c>
      <c r="C105" s="22" t="inlineStr">
        <is>
          <t>간장은 얼마나 넣어?</t>
        </is>
      </c>
      <c r="D105" s="21" t="inlineStr">
        <is>
          <t>재료분량</t>
        </is>
      </c>
      <c r="E105" s="21" t="n">
        <v>39</v>
      </c>
      <c r="F105" s="21" t="n">
        <v>41</v>
      </c>
      <c r="G105" s="21" t="inlineStr">
        <is>
          <t>2</t>
        </is>
      </c>
      <c r="H105" s="22" t="inlineStr">
        <is>
          <t>이태연</t>
        </is>
      </c>
      <c r="I105" s="22" t="inlineStr">
        <is>
          <t>원본</t>
        </is>
      </c>
    </row>
    <row r="106">
      <c r="A106" s="23" t="inlineStr">
        <is>
          <t>q060</t>
        </is>
      </c>
      <c r="B106" s="24" t="inlineStr">
        <is>
          <t>l3WthBEFzFw</t>
        </is>
      </c>
      <c r="C106" s="24" t="inlineStr">
        <is>
          <t>간장은 얼마나 넣어?</t>
        </is>
      </c>
      <c r="D106" s="23" t="inlineStr">
        <is>
          <t>재료분량</t>
        </is>
      </c>
      <c r="E106" s="23" t="n">
        <v>35</v>
      </c>
      <c r="F106" s="23" t="n">
        <v>39</v>
      </c>
      <c r="G106" s="23" t="inlineStr">
        <is>
          <t>1</t>
        </is>
      </c>
      <c r="H106" s="24" t="inlineStr">
        <is>
          <t>이태연</t>
        </is>
      </c>
      <c r="I106" s="24" t="inlineStr">
        <is>
          <t>규칙생성</t>
        </is>
      </c>
    </row>
    <row r="107">
      <c r="A107" s="21" t="inlineStr">
        <is>
          <t>q061</t>
        </is>
      </c>
      <c r="B107" s="22" t="inlineStr">
        <is>
          <t>OgR00HBMKFs</t>
        </is>
      </c>
      <c r="C107" s="22" t="inlineStr">
        <is>
          <t>항정살은 어느 정도까지 익혀?</t>
        </is>
      </c>
      <c r="D107" s="21" t="inlineStr">
        <is>
          <t>시각적상태</t>
        </is>
      </c>
      <c r="E107" s="21" t="n">
        <v>14</v>
      </c>
      <c r="F107" s="21" t="n">
        <v>20</v>
      </c>
      <c r="G107" s="21" t="inlineStr">
        <is>
          <t>2</t>
        </is>
      </c>
      <c r="H107" s="22" t="inlineStr">
        <is>
          <t>이태연</t>
        </is>
      </c>
      <c r="I107" s="22" t="inlineStr">
        <is>
          <t>원본</t>
        </is>
      </c>
    </row>
    <row r="108">
      <c r="A108" s="23" t="inlineStr">
        <is>
          <t>q061</t>
        </is>
      </c>
      <c r="B108" s="24" t="inlineStr">
        <is>
          <t>OgR00HBMKFs</t>
        </is>
      </c>
      <c r="C108" s="24" t="inlineStr">
        <is>
          <t>항정살은 어느 정도까지 익혀?</t>
        </is>
      </c>
      <c r="D108" s="23" t="inlineStr">
        <is>
          <t>시각적상태</t>
        </is>
      </c>
      <c r="E108" s="23" t="n">
        <v>10</v>
      </c>
      <c r="F108" s="23" t="n">
        <v>14</v>
      </c>
      <c r="G108" s="23" t="inlineStr">
        <is>
          <t>1</t>
        </is>
      </c>
      <c r="H108" s="24" t="inlineStr">
        <is>
          <t>이태연</t>
        </is>
      </c>
      <c r="I108" s="24" t="inlineStr">
        <is>
          <t>규칙생성</t>
        </is>
      </c>
    </row>
    <row r="109">
      <c r="A109" s="21" t="inlineStr">
        <is>
          <t>q062</t>
        </is>
      </c>
      <c r="B109" s="22" t="inlineStr">
        <is>
          <t>OgR00HBMKFs</t>
        </is>
      </c>
      <c r="C109" s="22" t="inlineStr">
        <is>
          <t>두부는 언제 조리해?</t>
        </is>
      </c>
      <c r="D109" s="21" t="inlineStr">
        <is>
          <t>순서타이밍</t>
        </is>
      </c>
      <c r="E109" s="21" t="n">
        <v>22</v>
      </c>
      <c r="F109" s="21" t="n">
        <v>33</v>
      </c>
      <c r="G109" s="21" t="inlineStr">
        <is>
          <t>2</t>
        </is>
      </c>
      <c r="H109" s="22" t="inlineStr">
        <is>
          <t>이태연</t>
        </is>
      </c>
      <c r="I109" s="22" t="inlineStr">
        <is>
          <t>원본</t>
        </is>
      </c>
    </row>
    <row r="110">
      <c r="A110" s="23" t="inlineStr">
        <is>
          <t>q062</t>
        </is>
      </c>
      <c r="B110" s="24" t="inlineStr">
        <is>
          <t>OgR00HBMKFs</t>
        </is>
      </c>
      <c r="C110" s="24" t="inlineStr">
        <is>
          <t>두부는 언제 조리해?</t>
        </is>
      </c>
      <c r="D110" s="23" t="inlineStr">
        <is>
          <t>순서타이밍</t>
        </is>
      </c>
      <c r="E110" s="23" t="n">
        <v>18</v>
      </c>
      <c r="F110" s="23" t="n">
        <v>22</v>
      </c>
      <c r="G110" s="23" t="inlineStr">
        <is>
          <t>1</t>
        </is>
      </c>
      <c r="H110" s="24" t="inlineStr">
        <is>
          <t>이태연</t>
        </is>
      </c>
      <c r="I110" s="24" t="inlineStr">
        <is>
          <t>규칙생성</t>
        </is>
      </c>
    </row>
    <row r="111">
      <c r="A111" s="21" t="inlineStr">
        <is>
          <t>q063</t>
        </is>
      </c>
      <c r="B111" s="22" t="inlineStr">
        <is>
          <t>OgR00HBMKFs</t>
        </is>
      </c>
      <c r="C111" s="22" t="inlineStr">
        <is>
          <t>김치는 얼마나 넣어?</t>
        </is>
      </c>
      <c r="D111" s="21" t="inlineStr">
        <is>
          <t>재료분량</t>
        </is>
      </c>
      <c r="E111" s="21" t="n">
        <v>33</v>
      </c>
      <c r="F111" s="21" t="n">
        <v>36</v>
      </c>
      <c r="G111" s="21" t="inlineStr">
        <is>
          <t>2</t>
        </is>
      </c>
      <c r="H111" s="22" t="inlineStr">
        <is>
          <t>이태연</t>
        </is>
      </c>
      <c r="I111" s="22" t="inlineStr">
        <is>
          <t>원본</t>
        </is>
      </c>
    </row>
    <row r="112">
      <c r="A112" s="23" t="inlineStr">
        <is>
          <t>q063</t>
        </is>
      </c>
      <c r="B112" s="24" t="inlineStr">
        <is>
          <t>OgR00HBMKFs</t>
        </is>
      </c>
      <c r="C112" s="24" t="inlineStr">
        <is>
          <t>김치는 얼마나 넣어?</t>
        </is>
      </c>
      <c r="D112" s="23" t="inlineStr">
        <is>
          <t>재료분량</t>
        </is>
      </c>
      <c r="E112" s="23" t="n">
        <v>29</v>
      </c>
      <c r="F112" s="23" t="n">
        <v>33</v>
      </c>
      <c r="G112" s="23" t="inlineStr">
        <is>
          <t>1</t>
        </is>
      </c>
      <c r="H112" s="24" t="inlineStr">
        <is>
          <t>이태연</t>
        </is>
      </c>
      <c r="I112" s="24" t="inlineStr">
        <is>
          <t>규칙생성</t>
        </is>
      </c>
    </row>
    <row r="113">
      <c r="A113" s="21" t="inlineStr">
        <is>
          <t>q064</t>
        </is>
      </c>
      <c r="B113" s="22" t="inlineStr">
        <is>
          <t>OgR00HBMKFs</t>
        </is>
      </c>
      <c r="C113" s="22" t="inlineStr">
        <is>
          <t>대파와 청양고추는 언제 넣어?</t>
        </is>
      </c>
      <c r="D113" s="21" t="inlineStr">
        <is>
          <t>순서타이밍</t>
        </is>
      </c>
      <c r="E113" s="21" t="n">
        <v>72</v>
      </c>
      <c r="F113" s="21" t="n">
        <v>67</v>
      </c>
      <c r="G113" s="21" t="inlineStr">
        <is>
          <t>2</t>
        </is>
      </c>
      <c r="H113" s="22" t="inlineStr">
        <is>
          <t>이태연</t>
        </is>
      </c>
      <c r="I113" s="22" t="inlineStr">
        <is>
          <t>원본</t>
        </is>
      </c>
    </row>
    <row r="114">
      <c r="A114" s="23" t="inlineStr">
        <is>
          <t>q064</t>
        </is>
      </c>
      <c r="B114" s="24" t="inlineStr">
        <is>
          <t>OgR00HBMKFs</t>
        </is>
      </c>
      <c r="C114" s="24" t="inlineStr">
        <is>
          <t>대파와 청양고추는 언제 넣어?</t>
        </is>
      </c>
      <c r="D114" s="23" t="inlineStr">
        <is>
          <t>순서타이밍</t>
        </is>
      </c>
      <c r="E114" s="23" t="n">
        <v>68</v>
      </c>
      <c r="F114" s="23" t="n">
        <v>72</v>
      </c>
      <c r="G114" s="23" t="inlineStr">
        <is>
          <t>1</t>
        </is>
      </c>
      <c r="H114" s="24" t="inlineStr">
        <is>
          <t>이태연</t>
        </is>
      </c>
      <c r="I114" s="24" t="inlineStr">
        <is>
          <t>규칙생성</t>
        </is>
      </c>
    </row>
    <row r="115">
      <c r="A115" s="15" t="n"/>
      <c r="B115" s="16" t="n"/>
      <c r="C115" s="16" t="n"/>
      <c r="D115" s="15" t="n"/>
      <c r="E115" s="15" t="n"/>
      <c r="F115" s="15" t="n"/>
      <c r="G115" s="15" t="n"/>
      <c r="H115" s="16" t="n"/>
      <c r="I115" s="16" t="n"/>
    </row>
    <row r="116">
      <c r="A116" s="15" t="n"/>
      <c r="B116" s="16" t="n"/>
      <c r="C116" s="16" t="n"/>
      <c r="D116" s="15" t="n"/>
      <c r="E116" s="15" t="n"/>
      <c r="F116" s="15" t="n"/>
      <c r="G116" s="15" t="n"/>
      <c r="H116" s="16" t="n"/>
      <c r="I116" s="16" t="n"/>
    </row>
    <row r="117">
      <c r="A117" s="15" t="n"/>
      <c r="B117" s="16" t="n"/>
      <c r="C117" s="16" t="n"/>
      <c r="D117" s="15" t="n"/>
      <c r="E117" s="15" t="n"/>
      <c r="F117" s="15" t="n"/>
      <c r="G117" s="15" t="n"/>
      <c r="H117" s="16" t="n"/>
      <c r="I117" s="16" t="n"/>
    </row>
    <row r="118">
      <c r="A118" s="15" t="n"/>
      <c r="B118" s="16" t="n"/>
      <c r="C118" s="16" t="n"/>
      <c r="D118" s="15" t="n"/>
      <c r="E118" s="15" t="n"/>
      <c r="F118" s="15" t="n"/>
      <c r="G118" s="15" t="n"/>
      <c r="H118" s="16" t="n"/>
      <c r="I118" s="16" t="n"/>
    </row>
    <row r="119">
      <c r="A119" s="15" t="n"/>
      <c r="B119" s="16" t="n"/>
      <c r="C119" s="16" t="n"/>
      <c r="D119" s="15" t="n"/>
      <c r="E119" s="15" t="n"/>
      <c r="F119" s="15" t="n"/>
      <c r="G119" s="15" t="n"/>
      <c r="H119" s="16" t="n"/>
      <c r="I119" s="16" t="n"/>
    </row>
    <row r="120">
      <c r="A120" s="15" t="n"/>
      <c r="B120" s="16" t="n"/>
      <c r="C120" s="16" t="n"/>
      <c r="D120" s="15" t="n"/>
      <c r="E120" s="15" t="n"/>
      <c r="F120" s="15" t="n"/>
      <c r="G120" s="15" t="n"/>
      <c r="H120" s="16" t="n"/>
      <c r="I120" s="16" t="n"/>
    </row>
    <row r="121">
      <c r="A121" s="15" t="n"/>
      <c r="B121" s="16" t="n"/>
      <c r="C121" s="16" t="n"/>
      <c r="D121" s="15" t="n"/>
      <c r="E121" s="15" t="n"/>
      <c r="F121" s="15" t="n"/>
      <c r="G121" s="15" t="n"/>
      <c r="H121" s="16" t="n"/>
      <c r="I121" s="16" t="n"/>
    </row>
    <row r="122">
      <c r="A122" s="15" t="n"/>
      <c r="B122" s="16" t="n"/>
      <c r="C122" s="16" t="n"/>
      <c r="D122" s="15" t="n"/>
      <c r="E122" s="15" t="n"/>
      <c r="F122" s="15" t="n"/>
      <c r="G122" s="15" t="n"/>
      <c r="H122" s="16" t="n"/>
      <c r="I122" s="16" t="n"/>
    </row>
    <row r="123">
      <c r="A123" s="15" t="n"/>
      <c r="B123" s="16" t="n"/>
      <c r="C123" s="16" t="n"/>
      <c r="D123" s="15" t="n"/>
      <c r="E123" s="15" t="n"/>
      <c r="F123" s="15" t="n"/>
      <c r="G123" s="15" t="n"/>
      <c r="H123" s="16" t="n"/>
      <c r="I123" s="16" t="n"/>
    </row>
    <row r="124">
      <c r="A124" s="15" t="n"/>
      <c r="B124" s="16" t="n"/>
      <c r="C124" s="16" t="n"/>
      <c r="D124" s="15" t="n"/>
      <c r="E124" s="15" t="n"/>
      <c r="F124" s="15" t="n"/>
      <c r="G124" s="15" t="n"/>
      <c r="H124" s="16" t="n"/>
      <c r="I124" s="16" t="n"/>
    </row>
    <row r="125">
      <c r="A125" s="15" t="n"/>
      <c r="B125" s="16" t="n"/>
      <c r="C125" s="16" t="n"/>
      <c r="D125" s="15" t="n"/>
      <c r="E125" s="15" t="n"/>
      <c r="F125" s="15" t="n"/>
      <c r="G125" s="15" t="n"/>
      <c r="H125" s="16" t="n"/>
      <c r="I125" s="16" t="n"/>
    </row>
    <row r="126">
      <c r="A126" s="15" t="n"/>
      <c r="B126" s="16" t="n"/>
      <c r="C126" s="16" t="n"/>
      <c r="D126" s="15" t="n"/>
      <c r="E126" s="15" t="n"/>
      <c r="F126" s="15" t="n"/>
      <c r="G126" s="15" t="n"/>
      <c r="H126" s="16" t="n"/>
      <c r="I126" s="16" t="n"/>
    </row>
    <row r="127">
      <c r="A127" s="15" t="n"/>
      <c r="B127" s="16" t="n"/>
      <c r="C127" s="16" t="n"/>
      <c r="D127" s="15" t="n"/>
      <c r="E127" s="15" t="n"/>
      <c r="F127" s="15" t="n"/>
      <c r="G127" s="15" t="n"/>
      <c r="H127" s="16" t="n"/>
      <c r="I127" s="16" t="n"/>
    </row>
    <row r="128">
      <c r="A128" s="15" t="n"/>
      <c r="B128" s="16" t="n"/>
      <c r="C128" s="16" t="n"/>
      <c r="D128" s="15" t="n"/>
      <c r="E128" s="15" t="n"/>
      <c r="F128" s="15" t="n"/>
      <c r="G128" s="15" t="n"/>
      <c r="H128" s="16" t="n"/>
      <c r="I128" s="16" t="n"/>
    </row>
    <row r="129">
      <c r="A129" s="15" t="n"/>
      <c r="B129" s="16" t="n"/>
      <c r="C129" s="16" t="n"/>
      <c r="D129" s="15" t="n"/>
      <c r="E129" s="15" t="n"/>
      <c r="F129" s="15" t="n"/>
      <c r="G129" s="15" t="n"/>
      <c r="H129" s="16" t="n"/>
      <c r="I129" s="16" t="n"/>
    </row>
    <row r="130">
      <c r="A130" s="15" t="n"/>
      <c r="B130" s="16" t="n"/>
      <c r="C130" s="16" t="n"/>
      <c r="D130" s="15" t="n"/>
      <c r="E130" s="15" t="n"/>
      <c r="F130" s="15" t="n"/>
      <c r="G130" s="15" t="n"/>
      <c r="H130" s="16" t="n"/>
      <c r="I130" s="16" t="n"/>
    </row>
    <row r="131">
      <c r="A131" s="15" t="n"/>
      <c r="B131" s="16" t="n"/>
      <c r="C131" s="16" t="n"/>
      <c r="D131" s="15" t="n"/>
      <c r="E131" s="15" t="n"/>
      <c r="F131" s="15" t="n"/>
      <c r="G131" s="15" t="n"/>
      <c r="H131" s="16" t="n"/>
      <c r="I131" s="16" t="n"/>
    </row>
    <row r="132">
      <c r="A132" s="15" t="n"/>
      <c r="B132" s="16" t="n"/>
      <c r="C132" s="16" t="n"/>
      <c r="D132" s="15" t="n"/>
      <c r="E132" s="15" t="n"/>
      <c r="F132" s="15" t="n"/>
      <c r="G132" s="15" t="n"/>
      <c r="H132" s="16" t="n"/>
      <c r="I132" s="16" t="n"/>
    </row>
    <row r="133">
      <c r="A133" s="15" t="n"/>
      <c r="B133" s="16" t="n"/>
      <c r="C133" s="16" t="n"/>
      <c r="D133" s="15" t="n"/>
      <c r="E133" s="15" t="n"/>
      <c r="F133" s="15" t="n"/>
      <c r="G133" s="15" t="n"/>
      <c r="H133" s="16" t="n"/>
      <c r="I133" s="16" t="n"/>
    </row>
    <row r="134">
      <c r="A134" s="15" t="n"/>
      <c r="B134" s="16" t="n"/>
      <c r="C134" s="16" t="n"/>
      <c r="D134" s="15" t="n"/>
      <c r="E134" s="15" t="n"/>
      <c r="F134" s="15" t="n"/>
      <c r="G134" s="15" t="n"/>
      <c r="H134" s="16" t="n"/>
      <c r="I134" s="16" t="n"/>
    </row>
    <row r="135">
      <c r="A135" s="15" t="n"/>
      <c r="B135" s="16" t="n"/>
      <c r="C135" s="16" t="n"/>
      <c r="D135" s="15" t="n"/>
      <c r="E135" s="15" t="n"/>
      <c r="F135" s="15" t="n"/>
      <c r="G135" s="15" t="n"/>
      <c r="H135" s="16" t="n"/>
      <c r="I135" s="16" t="n"/>
    </row>
    <row r="136">
      <c r="A136" s="15" t="n"/>
      <c r="B136" s="16" t="n"/>
      <c r="C136" s="16" t="n"/>
      <c r="D136" s="15" t="n"/>
      <c r="E136" s="15" t="n"/>
      <c r="F136" s="15" t="n"/>
      <c r="G136" s="15" t="n"/>
      <c r="H136" s="16" t="n"/>
      <c r="I136" s="16" t="n"/>
    </row>
    <row r="137">
      <c r="A137" s="15" t="n"/>
      <c r="B137" s="16" t="n"/>
      <c r="C137" s="16" t="n"/>
      <c r="D137" s="15" t="n"/>
      <c r="E137" s="15" t="n"/>
      <c r="F137" s="15" t="n"/>
      <c r="G137" s="15" t="n"/>
      <c r="H137" s="16" t="n"/>
      <c r="I137" s="16" t="n"/>
    </row>
    <row r="138">
      <c r="A138" s="15" t="n"/>
      <c r="B138" s="16" t="n"/>
      <c r="C138" s="16" t="n"/>
      <c r="D138" s="15" t="n"/>
      <c r="E138" s="15" t="n"/>
      <c r="F138" s="15" t="n"/>
      <c r="G138" s="15" t="n"/>
      <c r="H138" s="16" t="n"/>
      <c r="I138" s="16" t="n"/>
    </row>
    <row r="139">
      <c r="A139" s="15" t="n"/>
      <c r="B139" s="16" t="n"/>
      <c r="C139" s="16" t="n"/>
      <c r="D139" s="15" t="n"/>
      <c r="E139" s="15" t="n"/>
      <c r="F139" s="15" t="n"/>
      <c r="G139" s="15" t="n"/>
      <c r="H139" s="16" t="n"/>
      <c r="I139" s="16" t="n"/>
    </row>
    <row r="140">
      <c r="A140" s="15" t="n"/>
      <c r="B140" s="16" t="n"/>
      <c r="C140" s="16" t="n"/>
      <c r="D140" s="15" t="n"/>
      <c r="E140" s="15" t="n"/>
      <c r="F140" s="15" t="n"/>
      <c r="G140" s="15" t="n"/>
      <c r="H140" s="16" t="n"/>
      <c r="I140" s="16" t="n"/>
    </row>
    <row r="141">
      <c r="A141" s="15" t="n"/>
      <c r="B141" s="16" t="n"/>
      <c r="C141" s="16" t="n"/>
      <c r="D141" s="15" t="n"/>
      <c r="E141" s="15" t="n"/>
      <c r="F141" s="15" t="n"/>
      <c r="G141" s="15" t="n"/>
      <c r="H141" s="16" t="n"/>
      <c r="I141" s="16" t="n"/>
    </row>
    <row r="142">
      <c r="A142" s="15" t="n"/>
      <c r="B142" s="16" t="n"/>
      <c r="C142" s="16" t="n"/>
      <c r="D142" s="15" t="n"/>
      <c r="E142" s="15" t="n"/>
      <c r="F142" s="15" t="n"/>
      <c r="G142" s="15" t="n"/>
      <c r="H142" s="16" t="n"/>
      <c r="I142" s="16" t="n"/>
    </row>
    <row r="143">
      <c r="A143" s="15" t="n"/>
      <c r="B143" s="16" t="n"/>
      <c r="C143" s="16" t="n"/>
      <c r="D143" s="15" t="n"/>
      <c r="E143" s="15" t="n"/>
      <c r="F143" s="15" t="n"/>
      <c r="G143" s="15" t="n"/>
      <c r="H143" s="16" t="n"/>
      <c r="I143" s="16" t="n"/>
    </row>
    <row r="144">
      <c r="A144" s="15" t="n"/>
      <c r="B144" s="16" t="n"/>
      <c r="C144" s="16" t="n"/>
      <c r="D144" s="15" t="n"/>
      <c r="E144" s="15" t="n"/>
      <c r="F144" s="15" t="n"/>
      <c r="G144" s="15" t="n"/>
      <c r="H144" s="16" t="n"/>
      <c r="I144" s="16" t="n"/>
    </row>
    <row r="145">
      <c r="A145" s="15" t="n"/>
      <c r="B145" s="16" t="n"/>
      <c r="C145" s="16" t="n"/>
      <c r="D145" s="15" t="n"/>
      <c r="E145" s="15" t="n"/>
      <c r="F145" s="15" t="n"/>
      <c r="G145" s="15" t="n"/>
      <c r="H145" s="16" t="n"/>
      <c r="I145" s="16" t="n"/>
    </row>
    <row r="146">
      <c r="A146" s="15" t="n"/>
      <c r="B146" s="16" t="n"/>
      <c r="C146" s="16" t="n"/>
      <c r="D146" s="15" t="n"/>
      <c r="E146" s="15" t="n"/>
      <c r="F146" s="15" t="n"/>
      <c r="G146" s="15" t="n"/>
      <c r="H146" s="16" t="n"/>
      <c r="I146" s="16" t="n"/>
    </row>
    <row r="147">
      <c r="A147" s="15" t="n"/>
      <c r="B147" s="16" t="n"/>
      <c r="C147" s="16" t="n"/>
      <c r="D147" s="15" t="n"/>
      <c r="E147" s="15" t="n"/>
      <c r="F147" s="15" t="n"/>
      <c r="G147" s="15" t="n"/>
      <c r="H147" s="16" t="n"/>
      <c r="I147" s="16" t="n"/>
    </row>
    <row r="148">
      <c r="A148" s="15" t="n"/>
      <c r="B148" s="16" t="n"/>
      <c r="C148" s="16" t="n"/>
      <c r="D148" s="15" t="n"/>
      <c r="E148" s="15" t="n"/>
      <c r="F148" s="15" t="n"/>
      <c r="G148" s="15" t="n"/>
      <c r="H148" s="16" t="n"/>
      <c r="I148" s="16" t="n"/>
    </row>
    <row r="149">
      <c r="A149" s="15" t="n"/>
      <c r="B149" s="16" t="n"/>
      <c r="C149" s="16" t="n"/>
      <c r="D149" s="15" t="n"/>
      <c r="E149" s="15" t="n"/>
      <c r="F149" s="15" t="n"/>
      <c r="G149" s="15" t="n"/>
      <c r="H149" s="16" t="n"/>
      <c r="I149" s="16" t="n"/>
    </row>
    <row r="150">
      <c r="A150" s="15" t="n"/>
      <c r="B150" s="16" t="n"/>
      <c r="C150" s="16" t="n"/>
      <c r="D150" s="15" t="n"/>
      <c r="E150" s="15" t="n"/>
      <c r="F150" s="15" t="n"/>
      <c r="G150" s="15" t="n"/>
      <c r="H150" s="16" t="n"/>
      <c r="I150" s="16" t="n"/>
    </row>
    <row r="151">
      <c r="A151" s="15" t="n"/>
      <c r="B151" s="16" t="n"/>
      <c r="C151" s="16" t="n"/>
      <c r="D151" s="15" t="n"/>
      <c r="E151" s="15" t="n"/>
      <c r="F151" s="15" t="n"/>
      <c r="G151" s="15" t="n"/>
      <c r="H151" s="16" t="n"/>
      <c r="I151" s="16" t="n"/>
    </row>
    <row r="152">
      <c r="A152" s="15" t="n"/>
      <c r="B152" s="16" t="n"/>
      <c r="C152" s="16" t="n"/>
      <c r="D152" s="15" t="n"/>
      <c r="E152" s="15" t="n"/>
      <c r="F152" s="15" t="n"/>
      <c r="G152" s="15" t="n"/>
      <c r="H152" s="16" t="n"/>
      <c r="I152" s="16" t="n"/>
    </row>
    <row r="153">
      <c r="A153" s="15" t="n"/>
      <c r="B153" s="16" t="n"/>
      <c r="C153" s="16" t="n"/>
      <c r="D153" s="15" t="n"/>
      <c r="E153" s="15" t="n"/>
      <c r="F153" s="15" t="n"/>
      <c r="G153" s="15" t="n"/>
      <c r="H153" s="16" t="n"/>
      <c r="I153" s="16" t="n"/>
    </row>
    <row r="154">
      <c r="A154" s="15" t="n"/>
      <c r="B154" s="16" t="n"/>
      <c r="C154" s="16" t="n"/>
      <c r="D154" s="15" t="n"/>
      <c r="E154" s="15" t="n"/>
      <c r="F154" s="15" t="n"/>
      <c r="G154" s="15" t="n"/>
      <c r="H154" s="16" t="n"/>
      <c r="I154" s="16" t="n"/>
    </row>
    <row r="155">
      <c r="A155" s="15" t="n"/>
      <c r="B155" s="16" t="n"/>
      <c r="C155" s="16" t="n"/>
      <c r="D155" s="15" t="n"/>
      <c r="E155" s="15" t="n"/>
      <c r="F155" s="15" t="n"/>
      <c r="G155" s="15" t="n"/>
      <c r="H155" s="16" t="n"/>
      <c r="I155" s="16" t="n"/>
    </row>
    <row r="156">
      <c r="A156" s="15" t="n"/>
      <c r="B156" s="16" t="n"/>
      <c r="C156" s="16" t="n"/>
      <c r="D156" s="15" t="n"/>
      <c r="E156" s="15" t="n"/>
      <c r="F156" s="15" t="n"/>
      <c r="G156" s="15" t="n"/>
      <c r="H156" s="16" t="n"/>
      <c r="I156" s="16" t="n"/>
    </row>
    <row r="157">
      <c r="A157" s="15" t="n"/>
      <c r="B157" s="16" t="n"/>
      <c r="C157" s="16" t="n"/>
      <c r="D157" s="15" t="n"/>
      <c r="E157" s="15" t="n"/>
      <c r="F157" s="15" t="n"/>
      <c r="G157" s="15" t="n"/>
      <c r="H157" s="16" t="n"/>
      <c r="I157" s="16" t="n"/>
    </row>
    <row r="158">
      <c r="A158" s="15" t="n"/>
      <c r="B158" s="16" t="n"/>
      <c r="C158" s="16" t="n"/>
      <c r="D158" s="15" t="n"/>
      <c r="E158" s="15" t="n"/>
      <c r="F158" s="15" t="n"/>
      <c r="G158" s="15" t="n"/>
      <c r="H158" s="16" t="n"/>
      <c r="I158" s="16" t="n"/>
    </row>
    <row r="159">
      <c r="A159" s="15" t="n"/>
      <c r="B159" s="16" t="n"/>
      <c r="C159" s="16" t="n"/>
      <c r="D159" s="15" t="n"/>
      <c r="E159" s="15" t="n"/>
      <c r="F159" s="15" t="n"/>
      <c r="G159" s="15" t="n"/>
      <c r="H159" s="16" t="n"/>
      <c r="I159" s="16" t="n"/>
    </row>
    <row r="160">
      <c r="A160" s="15" t="n"/>
      <c r="B160" s="16" t="n"/>
      <c r="C160" s="16" t="n"/>
      <c r="D160" s="15" t="n"/>
      <c r="E160" s="15" t="n"/>
      <c r="F160" s="15" t="n"/>
      <c r="G160" s="15" t="n"/>
      <c r="H160" s="16" t="n"/>
      <c r="I160" s="16" t="n"/>
    </row>
    <row r="161">
      <c r="A161" s="15" t="n"/>
      <c r="B161" s="16" t="n"/>
      <c r="C161" s="16" t="n"/>
      <c r="D161" s="15" t="n"/>
      <c r="E161" s="15" t="n"/>
      <c r="F161" s="15" t="n"/>
      <c r="G161" s="15" t="n"/>
      <c r="H161" s="16" t="n"/>
      <c r="I161" s="16" t="n"/>
    </row>
    <row r="162">
      <c r="A162" s="15" t="n"/>
      <c r="B162" s="16" t="n"/>
      <c r="C162" s="16" t="n"/>
      <c r="D162" s="15" t="n"/>
      <c r="E162" s="15" t="n"/>
      <c r="F162" s="15" t="n"/>
      <c r="G162" s="15" t="n"/>
      <c r="H162" s="16" t="n"/>
      <c r="I162" s="16" t="n"/>
    </row>
    <row r="163">
      <c r="A163" s="15" t="n"/>
      <c r="B163" s="16" t="n"/>
      <c r="C163" s="16" t="n"/>
      <c r="D163" s="15" t="n"/>
      <c r="E163" s="15" t="n"/>
      <c r="F163" s="15" t="n"/>
      <c r="G163" s="15" t="n"/>
      <c r="H163" s="16" t="n"/>
      <c r="I163" s="16" t="n"/>
    </row>
    <row r="164">
      <c r="A164" s="15" t="n"/>
      <c r="B164" s="16" t="n"/>
      <c r="C164" s="16" t="n"/>
      <c r="D164" s="15" t="n"/>
      <c r="E164" s="15" t="n"/>
      <c r="F164" s="15" t="n"/>
      <c r="G164" s="15" t="n"/>
      <c r="H164" s="16" t="n"/>
      <c r="I164" s="16" t="n"/>
    </row>
    <row r="165">
      <c r="A165" s="15" t="n"/>
      <c r="B165" s="16" t="n"/>
      <c r="C165" s="16" t="n"/>
      <c r="D165" s="15" t="n"/>
      <c r="E165" s="15" t="n"/>
      <c r="F165" s="15" t="n"/>
      <c r="G165" s="15" t="n"/>
      <c r="H165" s="16" t="n"/>
      <c r="I165" s="16" t="n"/>
    </row>
    <row r="166">
      <c r="A166" s="15" t="n"/>
      <c r="B166" s="16" t="n"/>
      <c r="C166" s="16" t="n"/>
      <c r="D166" s="15" t="n"/>
      <c r="E166" s="15" t="n"/>
      <c r="F166" s="15" t="n"/>
      <c r="G166" s="15" t="n"/>
      <c r="H166" s="16" t="n"/>
      <c r="I166" s="16" t="n"/>
    </row>
    <row r="167">
      <c r="A167" s="15" t="n"/>
      <c r="B167" s="16" t="n"/>
      <c r="C167" s="16" t="n"/>
      <c r="D167" s="15" t="n"/>
      <c r="E167" s="15" t="n"/>
      <c r="F167" s="15" t="n"/>
      <c r="G167" s="15" t="n"/>
      <c r="H167" s="16" t="n"/>
      <c r="I167" s="16" t="n"/>
    </row>
    <row r="168">
      <c r="A168" s="15" t="n"/>
      <c r="B168" s="16" t="n"/>
      <c r="C168" s="16" t="n"/>
      <c r="D168" s="15" t="n"/>
      <c r="E168" s="15" t="n"/>
      <c r="F168" s="15" t="n"/>
      <c r="G168" s="15" t="n"/>
      <c r="H168" s="16" t="n"/>
      <c r="I168" s="16" t="n"/>
    </row>
    <row r="169">
      <c r="A169" s="15" t="n"/>
      <c r="B169" s="16" t="n"/>
      <c r="C169" s="16" t="n"/>
      <c r="D169" s="15" t="n"/>
      <c r="E169" s="15" t="n"/>
      <c r="F169" s="15" t="n"/>
      <c r="G169" s="15" t="n"/>
      <c r="H169" s="16" t="n"/>
      <c r="I169" s="16" t="n"/>
    </row>
    <row r="170">
      <c r="A170" s="15" t="n"/>
      <c r="B170" s="16" t="n"/>
      <c r="C170" s="16" t="n"/>
      <c r="D170" s="15" t="n"/>
      <c r="E170" s="15" t="n"/>
      <c r="F170" s="15" t="n"/>
      <c r="G170" s="15" t="n"/>
      <c r="H170" s="16" t="n"/>
      <c r="I170" s="16" t="n"/>
    </row>
    <row r="171">
      <c r="A171" s="15" t="n"/>
      <c r="B171" s="16" t="n"/>
      <c r="C171" s="16" t="n"/>
      <c r="D171" s="15" t="n"/>
      <c r="E171" s="15" t="n"/>
      <c r="F171" s="15" t="n"/>
      <c r="G171" s="15" t="n"/>
      <c r="H171" s="16" t="n"/>
      <c r="I171" s="16" t="n"/>
    </row>
    <row r="172">
      <c r="A172" s="15" t="n"/>
      <c r="B172" s="16" t="n"/>
      <c r="C172" s="16" t="n"/>
      <c r="D172" s="15" t="n"/>
      <c r="E172" s="15" t="n"/>
      <c r="F172" s="15" t="n"/>
      <c r="G172" s="15" t="n"/>
      <c r="H172" s="16" t="n"/>
      <c r="I172" s="16" t="n"/>
    </row>
    <row r="173">
      <c r="A173" s="15" t="n"/>
      <c r="B173" s="16" t="n"/>
      <c r="C173" s="16" t="n"/>
      <c r="D173" s="15" t="n"/>
      <c r="E173" s="15" t="n"/>
      <c r="F173" s="15" t="n"/>
      <c r="G173" s="15" t="n"/>
      <c r="H173" s="16" t="n"/>
      <c r="I173" s="16" t="n"/>
    </row>
    <row r="174">
      <c r="A174" s="15" t="n"/>
      <c r="B174" s="16" t="n"/>
      <c r="C174" s="16" t="n"/>
      <c r="D174" s="15" t="n"/>
      <c r="E174" s="15" t="n"/>
      <c r="F174" s="15" t="n"/>
      <c r="G174" s="15" t="n"/>
      <c r="H174" s="16" t="n"/>
      <c r="I174" s="16" t="n"/>
    </row>
    <row r="175">
      <c r="A175" s="15" t="n"/>
      <c r="B175" s="16" t="n"/>
      <c r="C175" s="16" t="n"/>
      <c r="D175" s="15" t="n"/>
      <c r="E175" s="15" t="n"/>
      <c r="F175" s="15" t="n"/>
      <c r="G175" s="15" t="n"/>
      <c r="H175" s="16" t="n"/>
      <c r="I175" s="16" t="n"/>
    </row>
    <row r="176">
      <c r="A176" s="15" t="n"/>
      <c r="B176" s="16" t="n"/>
      <c r="C176" s="16" t="n"/>
      <c r="D176" s="15" t="n"/>
      <c r="E176" s="15" t="n"/>
      <c r="F176" s="15" t="n"/>
      <c r="G176" s="15" t="n"/>
      <c r="H176" s="16" t="n"/>
      <c r="I176" s="16" t="n"/>
    </row>
    <row r="177">
      <c r="A177" s="15" t="n"/>
      <c r="B177" s="16" t="n"/>
      <c r="C177" s="16" t="n"/>
      <c r="D177" s="15" t="n"/>
      <c r="E177" s="15" t="n"/>
      <c r="F177" s="15" t="n"/>
      <c r="G177" s="15" t="n"/>
      <c r="H177" s="16" t="n"/>
      <c r="I177" s="16" t="n"/>
    </row>
    <row r="178">
      <c r="A178" s="15" t="n"/>
      <c r="B178" s="16" t="n"/>
      <c r="C178" s="16" t="n"/>
      <c r="D178" s="15" t="n"/>
      <c r="E178" s="15" t="n"/>
      <c r="F178" s="15" t="n"/>
      <c r="G178" s="15" t="n"/>
      <c r="H178" s="16" t="n"/>
      <c r="I178" s="16" t="n"/>
    </row>
    <row r="179">
      <c r="A179" s="15" t="n"/>
      <c r="B179" s="16" t="n"/>
      <c r="C179" s="16" t="n"/>
      <c r="D179" s="15" t="n"/>
      <c r="E179" s="15" t="n"/>
      <c r="F179" s="15" t="n"/>
      <c r="G179" s="15" t="n"/>
      <c r="H179" s="16" t="n"/>
      <c r="I179" s="16" t="n"/>
    </row>
    <row r="180">
      <c r="A180" s="15" t="n"/>
      <c r="B180" s="16" t="n"/>
      <c r="C180" s="16" t="n"/>
      <c r="D180" s="15" t="n"/>
      <c r="E180" s="15" t="n"/>
      <c r="F180" s="15" t="n"/>
      <c r="G180" s="15" t="n"/>
      <c r="H180" s="16" t="n"/>
      <c r="I180" s="16" t="n"/>
    </row>
    <row r="181">
      <c r="A181" s="15" t="n"/>
      <c r="B181" s="16" t="n"/>
      <c r="C181" s="16" t="n"/>
      <c r="D181" s="15" t="n"/>
      <c r="E181" s="15" t="n"/>
      <c r="F181" s="15" t="n"/>
      <c r="G181" s="15" t="n"/>
      <c r="H181" s="16" t="n"/>
      <c r="I181" s="16" t="n"/>
    </row>
    <row r="182">
      <c r="A182" s="15" t="n"/>
      <c r="B182" s="16" t="n"/>
      <c r="C182" s="16" t="n"/>
      <c r="D182" s="15" t="n"/>
      <c r="E182" s="15" t="n"/>
      <c r="F182" s="15" t="n"/>
      <c r="G182" s="15" t="n"/>
      <c r="H182" s="16" t="n"/>
      <c r="I182" s="16" t="n"/>
    </row>
    <row r="183">
      <c r="A183" s="15" t="n"/>
      <c r="B183" s="16" t="n"/>
      <c r="C183" s="16" t="n"/>
      <c r="D183" s="15" t="n"/>
      <c r="E183" s="15" t="n"/>
      <c r="F183" s="15" t="n"/>
      <c r="G183" s="15" t="n"/>
      <c r="H183" s="16" t="n"/>
      <c r="I183" s="16" t="n"/>
    </row>
    <row r="184">
      <c r="A184" s="15" t="n"/>
      <c r="B184" s="16" t="n"/>
      <c r="C184" s="16" t="n"/>
      <c r="D184" s="15" t="n"/>
      <c r="E184" s="15" t="n"/>
      <c r="F184" s="15" t="n"/>
      <c r="G184" s="15" t="n"/>
      <c r="H184" s="16" t="n"/>
      <c r="I184" s="16" t="n"/>
    </row>
    <row r="185">
      <c r="A185" s="15" t="n"/>
      <c r="B185" s="16" t="n"/>
      <c r="C185" s="16" t="n"/>
      <c r="D185" s="15" t="n"/>
      <c r="E185" s="15" t="n"/>
      <c r="F185" s="15" t="n"/>
      <c r="G185" s="15" t="n"/>
      <c r="H185" s="16" t="n"/>
      <c r="I185" s="16" t="n"/>
    </row>
    <row r="186">
      <c r="A186" s="15" t="n"/>
      <c r="B186" s="16" t="n"/>
      <c r="C186" s="16" t="n"/>
      <c r="D186" s="15" t="n"/>
      <c r="E186" s="15" t="n"/>
      <c r="F186" s="15" t="n"/>
      <c r="G186" s="15" t="n"/>
      <c r="H186" s="16" t="n"/>
      <c r="I186" s="16" t="n"/>
    </row>
    <row r="187">
      <c r="A187" s="15" t="n"/>
      <c r="B187" s="16" t="n"/>
      <c r="C187" s="16" t="n"/>
      <c r="D187" s="15" t="n"/>
      <c r="E187" s="15" t="n"/>
      <c r="F187" s="15" t="n"/>
      <c r="G187" s="15" t="n"/>
      <c r="H187" s="16" t="n"/>
      <c r="I187" s="16" t="n"/>
    </row>
    <row r="188">
      <c r="A188" s="15" t="n"/>
      <c r="B188" s="16" t="n"/>
      <c r="C188" s="16" t="n"/>
      <c r="D188" s="15" t="n"/>
      <c r="E188" s="15" t="n"/>
      <c r="F188" s="15" t="n"/>
      <c r="G188" s="15" t="n"/>
      <c r="H188" s="16" t="n"/>
      <c r="I188" s="16" t="n"/>
    </row>
    <row r="189">
      <c r="A189" s="15" t="n"/>
      <c r="B189" s="16" t="n"/>
      <c r="C189" s="16" t="n"/>
      <c r="D189" s="15" t="n"/>
      <c r="E189" s="15" t="n"/>
      <c r="F189" s="15" t="n"/>
      <c r="G189" s="15" t="n"/>
      <c r="H189" s="16" t="n"/>
      <c r="I189" s="16" t="n"/>
    </row>
    <row r="190">
      <c r="A190" s="15" t="n"/>
      <c r="B190" s="16" t="n"/>
      <c r="C190" s="16" t="n"/>
      <c r="D190" s="15" t="n"/>
      <c r="E190" s="15" t="n"/>
      <c r="F190" s="15" t="n"/>
      <c r="G190" s="15" t="n"/>
      <c r="H190" s="16" t="n"/>
      <c r="I190" s="16" t="n"/>
    </row>
    <row r="191">
      <c r="A191" s="15" t="n"/>
      <c r="B191" s="16" t="n"/>
      <c r="C191" s="16" t="n"/>
      <c r="D191" s="15" t="n"/>
      <c r="E191" s="15" t="n"/>
      <c r="F191" s="15" t="n"/>
      <c r="G191" s="15" t="n"/>
      <c r="H191" s="16" t="n"/>
      <c r="I191" s="16" t="n"/>
    </row>
    <row r="192">
      <c r="A192" s="15" t="n"/>
      <c r="B192" s="16" t="n"/>
      <c r="C192" s="16" t="n"/>
      <c r="D192" s="15" t="n"/>
      <c r="E192" s="15" t="n"/>
      <c r="F192" s="15" t="n"/>
      <c r="G192" s="15" t="n"/>
      <c r="H192" s="16" t="n"/>
      <c r="I192" s="16" t="n"/>
    </row>
    <row r="193">
      <c r="A193" s="15" t="n"/>
      <c r="B193" s="16" t="n"/>
      <c r="C193" s="16" t="n"/>
      <c r="D193" s="15" t="n"/>
      <c r="E193" s="15" t="n"/>
      <c r="F193" s="15" t="n"/>
      <c r="G193" s="15" t="n"/>
      <c r="H193" s="16" t="n"/>
      <c r="I193" s="16" t="n"/>
    </row>
    <row r="194">
      <c r="A194" s="15" t="n"/>
      <c r="B194" s="16" t="n"/>
      <c r="C194" s="16" t="n"/>
      <c r="D194" s="15" t="n"/>
      <c r="E194" s="15" t="n"/>
      <c r="F194" s="15" t="n"/>
      <c r="G194" s="15" t="n"/>
      <c r="H194" s="16" t="n"/>
      <c r="I194" s="16" t="n"/>
    </row>
    <row r="195">
      <c r="A195" s="15" t="n"/>
      <c r="B195" s="16" t="n"/>
      <c r="C195" s="16" t="n"/>
      <c r="D195" s="15" t="n"/>
      <c r="E195" s="15" t="n"/>
      <c r="F195" s="15" t="n"/>
      <c r="G195" s="15" t="n"/>
      <c r="H195" s="16" t="n"/>
      <c r="I195" s="16" t="n"/>
    </row>
    <row r="196">
      <c r="A196" s="15" t="n"/>
      <c r="B196" s="16" t="n"/>
      <c r="C196" s="16" t="n"/>
      <c r="D196" s="15" t="n"/>
      <c r="E196" s="15" t="n"/>
      <c r="F196" s="15" t="n"/>
      <c r="G196" s="15" t="n"/>
      <c r="H196" s="16" t="n"/>
      <c r="I196" s="16" t="n"/>
    </row>
    <row r="197">
      <c r="A197" s="15" t="n"/>
      <c r="B197" s="16" t="n"/>
      <c r="C197" s="16" t="n"/>
      <c r="D197" s="15" t="n"/>
      <c r="E197" s="15" t="n"/>
      <c r="F197" s="15" t="n"/>
      <c r="G197" s="15" t="n"/>
      <c r="H197" s="16" t="n"/>
      <c r="I197" s="16" t="n"/>
    </row>
    <row r="198">
      <c r="A198" s="15" t="n"/>
      <c r="B198" s="16" t="n"/>
      <c r="C198" s="16" t="n"/>
      <c r="D198" s="15" t="n"/>
      <c r="E198" s="15" t="n"/>
      <c r="F198" s="15" t="n"/>
      <c r="G198" s="15" t="n"/>
      <c r="H198" s="16" t="n"/>
      <c r="I198" s="16" t="n"/>
    </row>
    <row r="199">
      <c r="A199" s="15" t="n"/>
      <c r="B199" s="16" t="n"/>
      <c r="C199" s="16" t="n"/>
      <c r="D199" s="15" t="n"/>
      <c r="E199" s="15" t="n"/>
      <c r="F199" s="15" t="n"/>
      <c r="G199" s="15" t="n"/>
      <c r="H199" s="16" t="n"/>
      <c r="I199" s="16" t="n"/>
    </row>
    <row r="200">
      <c r="A200" s="15" t="n"/>
      <c r="B200" s="16" t="n"/>
      <c r="C200" s="16" t="n"/>
      <c r="D200" s="15" t="n"/>
      <c r="E200" s="15" t="n"/>
      <c r="F200" s="15" t="n"/>
      <c r="G200" s="15" t="n"/>
      <c r="H200" s="16" t="n"/>
      <c r="I200" s="16" t="n"/>
    </row>
    <row r="201">
      <c r="A201" s="15" t="n"/>
      <c r="B201" s="16" t="n"/>
      <c r="C201" s="16" t="n"/>
      <c r="D201" s="15" t="n"/>
      <c r="E201" s="15" t="n"/>
      <c r="F201" s="15" t="n"/>
      <c r="G201" s="15" t="n"/>
      <c r="H201" s="16" t="n"/>
      <c r="I201" s="16" t="n"/>
    </row>
    <row r="202">
      <c r="A202" s="15" t="n"/>
      <c r="B202" s="16" t="n"/>
      <c r="C202" s="16" t="n"/>
      <c r="D202" s="15" t="n"/>
      <c r="E202" s="15" t="n"/>
      <c r="F202" s="15" t="n"/>
      <c r="G202" s="15" t="n"/>
      <c r="H202" s="16" t="n"/>
      <c r="I202" s="16" t="n"/>
    </row>
    <row r="203">
      <c r="A203" s="15" t="n"/>
      <c r="B203" s="16" t="n"/>
      <c r="C203" s="16" t="n"/>
      <c r="D203" s="15" t="n"/>
      <c r="E203" s="15" t="n"/>
      <c r="F203" s="15" t="n"/>
      <c r="G203" s="15" t="n"/>
      <c r="H203" s="16" t="n"/>
      <c r="I203" s="16" t="n"/>
    </row>
    <row r="204">
      <c r="A204" s="15" t="n"/>
      <c r="B204" s="16" t="n"/>
      <c r="C204" s="16" t="n"/>
      <c r="D204" s="15" t="n"/>
      <c r="E204" s="15" t="n"/>
      <c r="F204" s="15" t="n"/>
      <c r="G204" s="15" t="n"/>
      <c r="H204" s="16" t="n"/>
      <c r="I204" s="16" t="n"/>
    </row>
    <row r="205">
      <c r="A205" s="15" t="n"/>
      <c r="B205" s="16" t="n"/>
      <c r="C205" s="16" t="n"/>
      <c r="D205" s="15" t="n"/>
      <c r="E205" s="15" t="n"/>
      <c r="F205" s="15" t="n"/>
      <c r="G205" s="15" t="n"/>
      <c r="H205" s="16" t="n"/>
      <c r="I205" s="16" t="n"/>
    </row>
    <row r="206">
      <c r="A206" s="15" t="n"/>
      <c r="B206" s="16" t="n"/>
      <c r="C206" s="16" t="n"/>
      <c r="D206" s="15" t="n"/>
      <c r="E206" s="15" t="n"/>
      <c r="F206" s="15" t="n"/>
      <c r="G206" s="15" t="n"/>
      <c r="H206" s="16" t="n"/>
      <c r="I206" s="16" t="n"/>
    </row>
    <row r="207">
      <c r="A207" s="15" t="n"/>
      <c r="B207" s="16" t="n"/>
      <c r="C207" s="16" t="n"/>
      <c r="D207" s="15" t="n"/>
      <c r="E207" s="15" t="n"/>
      <c r="F207" s="15" t="n"/>
      <c r="G207" s="15" t="n"/>
      <c r="H207" s="16" t="n"/>
      <c r="I207" s="16" t="n"/>
    </row>
    <row r="208">
      <c r="A208" s="15" t="n"/>
      <c r="B208" s="16" t="n"/>
      <c r="C208" s="16" t="n"/>
      <c r="D208" s="15" t="n"/>
      <c r="E208" s="15" t="n"/>
      <c r="F208" s="15" t="n"/>
      <c r="G208" s="15" t="n"/>
      <c r="H208" s="16" t="n"/>
      <c r="I208" s="16" t="n"/>
    </row>
    <row r="209">
      <c r="A209" s="15" t="n"/>
      <c r="B209" s="16" t="n"/>
      <c r="C209" s="16" t="n"/>
      <c r="D209" s="15" t="n"/>
      <c r="E209" s="15" t="n"/>
      <c r="F209" s="15" t="n"/>
      <c r="G209" s="15" t="n"/>
      <c r="H209" s="16" t="n"/>
      <c r="I209" s="16" t="n"/>
    </row>
    <row r="210">
      <c r="A210" s="15" t="n"/>
      <c r="B210" s="16" t="n"/>
      <c r="C210" s="16" t="n"/>
      <c r="D210" s="15" t="n"/>
      <c r="E210" s="15" t="n"/>
      <c r="F210" s="15" t="n"/>
      <c r="G210" s="15" t="n"/>
      <c r="H210" s="16" t="n"/>
      <c r="I210" s="16" t="n"/>
    </row>
    <row r="211">
      <c r="A211" s="15" t="n"/>
      <c r="B211" s="16" t="n"/>
      <c r="C211" s="16" t="n"/>
      <c r="D211" s="15" t="n"/>
      <c r="E211" s="15" t="n"/>
      <c r="F211" s="15" t="n"/>
      <c r="G211" s="15" t="n"/>
      <c r="H211" s="16" t="n"/>
      <c r="I211" s="16" t="n"/>
    </row>
    <row r="212">
      <c r="A212" s="15" t="n"/>
      <c r="B212" s="16" t="n"/>
      <c r="C212" s="16" t="n"/>
      <c r="D212" s="15" t="n"/>
      <c r="E212" s="15" t="n"/>
      <c r="F212" s="15" t="n"/>
      <c r="G212" s="15" t="n"/>
      <c r="H212" s="16" t="n"/>
      <c r="I212" s="16" t="n"/>
    </row>
    <row r="213">
      <c r="A213" s="15" t="n"/>
      <c r="B213" s="16" t="n"/>
      <c r="C213" s="16" t="n"/>
      <c r="D213" s="15" t="n"/>
      <c r="E213" s="15" t="n"/>
      <c r="F213" s="15" t="n"/>
      <c r="G213" s="15" t="n"/>
      <c r="H213" s="16" t="n"/>
      <c r="I213" s="16" t="n"/>
    </row>
    <row r="214">
      <c r="A214" s="15" t="n"/>
      <c r="B214" s="16" t="n"/>
      <c r="C214" s="16" t="n"/>
      <c r="D214" s="15" t="n"/>
      <c r="E214" s="15" t="n"/>
      <c r="F214" s="15" t="n"/>
      <c r="G214" s="15" t="n"/>
      <c r="H214" s="16" t="n"/>
      <c r="I214" s="16" t="n"/>
    </row>
    <row r="215">
      <c r="A215" s="15" t="n"/>
      <c r="B215" s="16" t="n"/>
      <c r="C215" s="16" t="n"/>
      <c r="D215" s="15" t="n"/>
      <c r="E215" s="15" t="n"/>
      <c r="F215" s="15" t="n"/>
      <c r="G215" s="15" t="n"/>
      <c r="H215" s="16" t="n"/>
      <c r="I215" s="16" t="n"/>
    </row>
    <row r="216">
      <c r="A216" s="15" t="n"/>
      <c r="B216" s="16" t="n"/>
      <c r="C216" s="16" t="n"/>
      <c r="D216" s="15" t="n"/>
      <c r="E216" s="15" t="n"/>
      <c r="F216" s="15" t="n"/>
      <c r="G216" s="15" t="n"/>
      <c r="H216" s="16" t="n"/>
      <c r="I216" s="16" t="n"/>
    </row>
    <row r="217">
      <c r="A217" s="15" t="n"/>
      <c r="B217" s="16" t="n"/>
      <c r="C217" s="16" t="n"/>
      <c r="D217" s="15" t="n"/>
      <c r="E217" s="15" t="n"/>
      <c r="F217" s="15" t="n"/>
      <c r="G217" s="15" t="n"/>
      <c r="H217" s="16" t="n"/>
      <c r="I217" s="16" t="n"/>
    </row>
    <row r="218">
      <c r="A218" s="15" t="n"/>
      <c r="B218" s="16" t="n"/>
      <c r="C218" s="16" t="n"/>
      <c r="D218" s="15" t="n"/>
      <c r="E218" s="15" t="n"/>
      <c r="F218" s="15" t="n"/>
      <c r="G218" s="15" t="n"/>
      <c r="H218" s="16" t="n"/>
      <c r="I218" s="16" t="n"/>
    </row>
    <row r="219">
      <c r="A219" s="15" t="n"/>
      <c r="B219" s="16" t="n"/>
      <c r="C219" s="16" t="n"/>
      <c r="D219" s="15" t="n"/>
      <c r="E219" s="15" t="n"/>
      <c r="F219" s="15" t="n"/>
      <c r="G219" s="15" t="n"/>
      <c r="H219" s="16" t="n"/>
      <c r="I219" s="16" t="n"/>
    </row>
    <row r="220">
      <c r="A220" s="15" t="n"/>
      <c r="B220" s="16" t="n"/>
      <c r="C220" s="16" t="n"/>
      <c r="D220" s="15" t="n"/>
      <c r="E220" s="15" t="n"/>
      <c r="F220" s="15" t="n"/>
      <c r="G220" s="15" t="n"/>
      <c r="H220" s="16" t="n"/>
      <c r="I220" s="16" t="n"/>
    </row>
    <row r="221">
      <c r="A221" s="15" t="n"/>
      <c r="B221" s="16" t="n"/>
      <c r="C221" s="16" t="n"/>
      <c r="D221" s="15" t="n"/>
      <c r="E221" s="15" t="n"/>
      <c r="F221" s="15" t="n"/>
      <c r="G221" s="15" t="n"/>
      <c r="H221" s="16" t="n"/>
      <c r="I221" s="16" t="n"/>
    </row>
    <row r="222">
      <c r="A222" s="15" t="n"/>
      <c r="B222" s="16" t="n"/>
      <c r="C222" s="16" t="n"/>
      <c r="D222" s="15" t="n"/>
      <c r="E222" s="15" t="n"/>
      <c r="F222" s="15" t="n"/>
      <c r="G222" s="15" t="n"/>
      <c r="H222" s="16" t="n"/>
      <c r="I222" s="16" t="n"/>
    </row>
    <row r="223">
      <c r="A223" s="15" t="n"/>
      <c r="B223" s="16" t="n"/>
      <c r="C223" s="16" t="n"/>
      <c r="D223" s="15" t="n"/>
      <c r="E223" s="15" t="n"/>
      <c r="F223" s="15" t="n"/>
      <c r="G223" s="15" t="n"/>
      <c r="H223" s="16" t="n"/>
      <c r="I223" s="16" t="n"/>
    </row>
    <row r="224">
      <c r="A224" s="15" t="n"/>
      <c r="B224" s="16" t="n"/>
      <c r="C224" s="16" t="n"/>
      <c r="D224" s="15" t="n"/>
      <c r="E224" s="15" t="n"/>
      <c r="F224" s="15" t="n"/>
      <c r="G224" s="15" t="n"/>
      <c r="H224" s="16" t="n"/>
      <c r="I224" s="16" t="n"/>
    </row>
    <row r="225">
      <c r="A225" s="15" t="n"/>
      <c r="B225" s="16" t="n"/>
      <c r="C225" s="16" t="n"/>
      <c r="D225" s="15" t="n"/>
      <c r="E225" s="15" t="n"/>
      <c r="F225" s="15" t="n"/>
      <c r="G225" s="15" t="n"/>
      <c r="H225" s="16" t="n"/>
      <c r="I225" s="16" t="n"/>
    </row>
    <row r="226">
      <c r="A226" s="15" t="n"/>
      <c r="B226" s="16" t="n"/>
      <c r="C226" s="16" t="n"/>
      <c r="D226" s="15" t="n"/>
      <c r="E226" s="15" t="n"/>
      <c r="F226" s="15" t="n"/>
      <c r="G226" s="15" t="n"/>
      <c r="H226" s="16" t="n"/>
      <c r="I226" s="16" t="n"/>
    </row>
    <row r="227">
      <c r="A227" s="15" t="n"/>
      <c r="B227" s="16" t="n"/>
      <c r="C227" s="16" t="n"/>
      <c r="D227" s="15" t="n"/>
      <c r="E227" s="15" t="n"/>
      <c r="F227" s="15" t="n"/>
      <c r="G227" s="15" t="n"/>
      <c r="H227" s="16" t="n"/>
      <c r="I227" s="16" t="n"/>
    </row>
    <row r="228">
      <c r="A228" s="15" t="n"/>
      <c r="B228" s="16" t="n"/>
      <c r="C228" s="16" t="n"/>
      <c r="D228" s="15" t="n"/>
      <c r="E228" s="15" t="n"/>
      <c r="F228" s="15" t="n"/>
      <c r="G228" s="15" t="n"/>
      <c r="H228" s="16" t="n"/>
      <c r="I228" s="16" t="n"/>
    </row>
    <row r="229">
      <c r="A229" s="15" t="n"/>
      <c r="B229" s="16" t="n"/>
      <c r="C229" s="16" t="n"/>
      <c r="D229" s="15" t="n"/>
      <c r="E229" s="15" t="n"/>
      <c r="F229" s="15" t="n"/>
      <c r="G229" s="15" t="n"/>
      <c r="H229" s="16" t="n"/>
      <c r="I229" s="16" t="n"/>
    </row>
    <row r="230">
      <c r="A230" s="15" t="n"/>
      <c r="B230" s="16" t="n"/>
      <c r="C230" s="16" t="n"/>
      <c r="D230" s="15" t="n"/>
      <c r="E230" s="15" t="n"/>
      <c r="F230" s="15" t="n"/>
      <c r="G230" s="15" t="n"/>
      <c r="H230" s="16" t="n"/>
      <c r="I230" s="16" t="n"/>
    </row>
    <row r="231">
      <c r="A231" s="15" t="n"/>
      <c r="B231" s="16" t="n"/>
      <c r="C231" s="16" t="n"/>
      <c r="D231" s="15" t="n"/>
      <c r="E231" s="15" t="n"/>
      <c r="F231" s="15" t="n"/>
      <c r="G231" s="15" t="n"/>
      <c r="H231" s="16" t="n"/>
      <c r="I231" s="16" t="n"/>
    </row>
    <row r="232">
      <c r="A232" s="15" t="n"/>
      <c r="B232" s="16" t="n"/>
      <c r="C232" s="16" t="n"/>
      <c r="D232" s="15" t="n"/>
      <c r="E232" s="15" t="n"/>
      <c r="F232" s="15" t="n"/>
      <c r="G232" s="15" t="n"/>
      <c r="H232" s="16" t="n"/>
      <c r="I232" s="16" t="n"/>
    </row>
    <row r="233">
      <c r="A233" s="15" t="n"/>
      <c r="B233" s="16" t="n"/>
      <c r="C233" s="16" t="n"/>
      <c r="D233" s="15" t="n"/>
      <c r="E233" s="15" t="n"/>
      <c r="F233" s="15" t="n"/>
      <c r="G233" s="15" t="n"/>
      <c r="H233" s="16" t="n"/>
      <c r="I233" s="16" t="n"/>
    </row>
    <row r="234">
      <c r="A234" s="15" t="n"/>
      <c r="B234" s="16" t="n"/>
      <c r="C234" s="16" t="n"/>
      <c r="D234" s="15" t="n"/>
      <c r="E234" s="15" t="n"/>
      <c r="F234" s="15" t="n"/>
      <c r="G234" s="15" t="n"/>
      <c r="H234" s="16" t="n"/>
      <c r="I234" s="16" t="n"/>
    </row>
    <row r="235">
      <c r="A235" s="15" t="n"/>
      <c r="B235" s="16" t="n"/>
      <c r="C235" s="16" t="n"/>
      <c r="D235" s="15" t="n"/>
      <c r="E235" s="15" t="n"/>
      <c r="F235" s="15" t="n"/>
      <c r="G235" s="15" t="n"/>
      <c r="H235" s="16" t="n"/>
      <c r="I235" s="16" t="n"/>
    </row>
    <row r="236">
      <c r="A236" s="15" t="n"/>
      <c r="B236" s="16" t="n"/>
      <c r="C236" s="16" t="n"/>
      <c r="D236" s="15" t="n"/>
      <c r="E236" s="15" t="n"/>
      <c r="F236" s="15" t="n"/>
      <c r="G236" s="15" t="n"/>
      <c r="H236" s="16" t="n"/>
      <c r="I236" s="16" t="n"/>
    </row>
    <row r="237">
      <c r="A237" s="15" t="n"/>
      <c r="B237" s="16" t="n"/>
      <c r="C237" s="16" t="n"/>
      <c r="D237" s="15" t="n"/>
      <c r="E237" s="15" t="n"/>
      <c r="F237" s="15" t="n"/>
      <c r="G237" s="15" t="n"/>
      <c r="H237" s="16" t="n"/>
      <c r="I237" s="16" t="n"/>
    </row>
    <row r="238">
      <c r="A238" s="15" t="n"/>
      <c r="B238" s="16" t="n"/>
      <c r="C238" s="16" t="n"/>
      <c r="D238" s="15" t="n"/>
      <c r="E238" s="15" t="n"/>
      <c r="F238" s="15" t="n"/>
      <c r="G238" s="15" t="n"/>
      <c r="H238" s="16" t="n"/>
      <c r="I238" s="16" t="n"/>
    </row>
    <row r="239">
      <c r="A239" s="15" t="n"/>
      <c r="B239" s="16" t="n"/>
      <c r="C239" s="16" t="n"/>
      <c r="D239" s="15" t="n"/>
      <c r="E239" s="15" t="n"/>
      <c r="F239" s="15" t="n"/>
      <c r="G239" s="15" t="n"/>
      <c r="H239" s="16" t="n"/>
      <c r="I239" s="16" t="n"/>
    </row>
    <row r="240">
      <c r="A240" s="15" t="n"/>
      <c r="B240" s="16" t="n"/>
      <c r="C240" s="16" t="n"/>
      <c r="D240" s="15" t="n"/>
      <c r="E240" s="15" t="n"/>
      <c r="F240" s="15" t="n"/>
      <c r="G240" s="15" t="n"/>
      <c r="H240" s="16" t="n"/>
      <c r="I240" s="16" t="n"/>
    </row>
    <row r="241">
      <c r="A241" s="15" t="n"/>
      <c r="B241" s="16" t="n"/>
      <c r="C241" s="16" t="n"/>
      <c r="D241" s="15" t="n"/>
      <c r="E241" s="15" t="n"/>
      <c r="F241" s="15" t="n"/>
      <c r="G241" s="15" t="n"/>
      <c r="H241" s="16" t="n"/>
      <c r="I241" s="16" t="n"/>
    </row>
    <row r="242">
      <c r="A242" s="15" t="n"/>
      <c r="B242" s="16" t="n"/>
      <c r="C242" s="16" t="n"/>
      <c r="D242" s="15" t="n"/>
      <c r="E242" s="15" t="n"/>
      <c r="F242" s="15" t="n"/>
      <c r="G242" s="15" t="n"/>
      <c r="H242" s="16" t="n"/>
      <c r="I242" s="16" t="n"/>
    </row>
    <row r="243">
      <c r="A243" s="15" t="n"/>
      <c r="B243" s="16" t="n"/>
      <c r="C243" s="16" t="n"/>
      <c r="D243" s="15" t="n"/>
      <c r="E243" s="15" t="n"/>
      <c r="F243" s="15" t="n"/>
      <c r="G243" s="15" t="n"/>
      <c r="H243" s="16" t="n"/>
      <c r="I243" s="16" t="n"/>
    </row>
    <row r="244">
      <c r="A244" s="15" t="n"/>
      <c r="B244" s="16" t="n"/>
      <c r="C244" s="16" t="n"/>
      <c r="D244" s="15" t="n"/>
      <c r="E244" s="15" t="n"/>
      <c r="F244" s="15" t="n"/>
      <c r="G244" s="15" t="n"/>
      <c r="H244" s="16" t="n"/>
      <c r="I244" s="16" t="n"/>
    </row>
    <row r="245">
      <c r="A245" s="15" t="n"/>
      <c r="B245" s="16" t="n"/>
      <c r="C245" s="16" t="n"/>
      <c r="D245" s="15" t="n"/>
      <c r="E245" s="15" t="n"/>
      <c r="F245" s="15" t="n"/>
      <c r="G245" s="15" t="n"/>
      <c r="H245" s="16" t="n"/>
      <c r="I245" s="16" t="n"/>
    </row>
    <row r="246">
      <c r="A246" s="15" t="n"/>
      <c r="B246" s="16" t="n"/>
      <c r="C246" s="16" t="n"/>
      <c r="D246" s="15" t="n"/>
      <c r="E246" s="15" t="n"/>
      <c r="F246" s="15" t="n"/>
      <c r="G246" s="15" t="n"/>
      <c r="H246" s="16" t="n"/>
      <c r="I246" s="16" t="n"/>
    </row>
    <row r="247">
      <c r="A247" s="15" t="n"/>
      <c r="B247" s="16" t="n"/>
      <c r="C247" s="16" t="n"/>
      <c r="D247" s="15" t="n"/>
      <c r="E247" s="15" t="n"/>
      <c r="F247" s="15" t="n"/>
      <c r="G247" s="15" t="n"/>
      <c r="H247" s="16" t="n"/>
      <c r="I247" s="16" t="n"/>
    </row>
    <row r="248">
      <c r="A248" s="15" t="n"/>
      <c r="B248" s="16" t="n"/>
      <c r="C248" s="16" t="n"/>
      <c r="D248" s="15" t="n"/>
      <c r="E248" s="15" t="n"/>
      <c r="F248" s="15" t="n"/>
      <c r="G248" s="15" t="n"/>
      <c r="H248" s="16" t="n"/>
      <c r="I248" s="16" t="n"/>
    </row>
    <row r="249">
      <c r="A249" s="15" t="n"/>
      <c r="B249" s="16" t="n"/>
      <c r="C249" s="16" t="n"/>
      <c r="D249" s="15" t="n"/>
      <c r="E249" s="15" t="n"/>
      <c r="F249" s="15" t="n"/>
      <c r="G249" s="15" t="n"/>
      <c r="H249" s="16" t="n"/>
      <c r="I249" s="16" t="n"/>
    </row>
    <row r="250">
      <c r="A250" s="15" t="n"/>
      <c r="B250" s="16" t="n"/>
      <c r="C250" s="16" t="n"/>
      <c r="D250" s="15" t="n"/>
      <c r="E250" s="15" t="n"/>
      <c r="F250" s="15" t="n"/>
      <c r="G250" s="15" t="n"/>
      <c r="H250" s="16" t="n"/>
      <c r="I250" s="16" t="n"/>
    </row>
    <row r="251">
      <c r="A251" s="15" t="n"/>
      <c r="B251" s="16" t="n"/>
      <c r="C251" s="16" t="n"/>
      <c r="D251" s="15" t="n"/>
      <c r="E251" s="15" t="n"/>
      <c r="F251" s="15" t="n"/>
      <c r="G251" s="15" t="n"/>
      <c r="H251" s="16" t="n"/>
      <c r="I251" s="16" t="n"/>
    </row>
    <row r="252">
      <c r="A252" s="15" t="n"/>
      <c r="B252" s="16" t="n"/>
      <c r="C252" s="16" t="n"/>
      <c r="D252" s="15" t="n"/>
      <c r="E252" s="15" t="n"/>
      <c r="F252" s="15" t="n"/>
      <c r="G252" s="15" t="n"/>
      <c r="H252" s="16" t="n"/>
      <c r="I252" s="16" t="n"/>
    </row>
    <row r="253">
      <c r="A253" s="15" t="n"/>
      <c r="B253" s="16" t="n"/>
      <c r="C253" s="16" t="n"/>
      <c r="D253" s="15" t="n"/>
      <c r="E253" s="15" t="n"/>
      <c r="F253" s="15" t="n"/>
      <c r="G253" s="15" t="n"/>
      <c r="H253" s="16" t="n"/>
      <c r="I253" s="16" t="n"/>
    </row>
    <row r="254">
      <c r="A254" s="15" t="n"/>
      <c r="B254" s="16" t="n"/>
      <c r="C254" s="16" t="n"/>
      <c r="D254" s="15" t="n"/>
      <c r="E254" s="15" t="n"/>
      <c r="F254" s="15" t="n"/>
      <c r="G254" s="15" t="n"/>
      <c r="H254" s="16" t="n"/>
      <c r="I254" s="16" t="n"/>
    </row>
    <row r="255">
      <c r="A255" s="15" t="n"/>
      <c r="B255" s="16" t="n"/>
      <c r="C255" s="16" t="n"/>
      <c r="D255" s="15" t="n"/>
      <c r="E255" s="15" t="n"/>
      <c r="F255" s="15" t="n"/>
      <c r="G255" s="15" t="n"/>
      <c r="H255" s="16" t="n"/>
      <c r="I255" s="16" t="n"/>
    </row>
    <row r="256">
      <c r="A256" s="15" t="n"/>
      <c r="B256" s="16" t="n"/>
      <c r="C256" s="16" t="n"/>
      <c r="D256" s="15" t="n"/>
      <c r="E256" s="15" t="n"/>
      <c r="F256" s="15" t="n"/>
      <c r="G256" s="15" t="n"/>
      <c r="H256" s="16" t="n"/>
      <c r="I256" s="16" t="n"/>
    </row>
    <row r="257">
      <c r="A257" s="15" t="n"/>
      <c r="B257" s="16" t="n"/>
      <c r="C257" s="16" t="n"/>
      <c r="D257" s="15" t="n"/>
      <c r="E257" s="15" t="n"/>
      <c r="F257" s="15" t="n"/>
      <c r="G257" s="15" t="n"/>
      <c r="H257" s="16" t="n"/>
      <c r="I257" s="16" t="n"/>
    </row>
    <row r="258">
      <c r="A258" s="15" t="n"/>
      <c r="B258" s="16" t="n"/>
      <c r="C258" s="16" t="n"/>
      <c r="D258" s="15" t="n"/>
      <c r="E258" s="15" t="n"/>
      <c r="F258" s="15" t="n"/>
      <c r="G258" s="15" t="n"/>
      <c r="H258" s="16" t="n"/>
      <c r="I258" s="16" t="n"/>
    </row>
    <row r="259">
      <c r="A259" s="15" t="n"/>
      <c r="B259" s="16" t="n"/>
      <c r="C259" s="16" t="n"/>
      <c r="D259" s="15" t="n"/>
      <c r="E259" s="15" t="n"/>
      <c r="F259" s="15" t="n"/>
      <c r="G259" s="15" t="n"/>
      <c r="H259" s="16" t="n"/>
      <c r="I259" s="16" t="n"/>
    </row>
    <row r="260">
      <c r="A260" s="15" t="n"/>
      <c r="B260" s="16" t="n"/>
      <c r="C260" s="16" t="n"/>
      <c r="D260" s="15" t="n"/>
      <c r="E260" s="15" t="n"/>
      <c r="F260" s="15" t="n"/>
      <c r="G260" s="15" t="n"/>
      <c r="H260" s="16" t="n"/>
      <c r="I260" s="16" t="n"/>
    </row>
    <row r="261">
      <c r="A261" s="15" t="n"/>
      <c r="B261" s="16" t="n"/>
      <c r="C261" s="16" t="n"/>
      <c r="D261" s="15" t="n"/>
      <c r="E261" s="15" t="n"/>
      <c r="F261" s="15" t="n"/>
      <c r="G261" s="15" t="n"/>
      <c r="H261" s="16" t="n"/>
      <c r="I261" s="16" t="n"/>
    </row>
    <row r="262">
      <c r="A262" s="15" t="n"/>
      <c r="B262" s="16" t="n"/>
      <c r="C262" s="16" t="n"/>
      <c r="D262" s="15" t="n"/>
      <c r="E262" s="15" t="n"/>
      <c r="F262" s="15" t="n"/>
      <c r="G262" s="15" t="n"/>
      <c r="H262" s="16" t="n"/>
      <c r="I262" s="16" t="n"/>
    </row>
    <row r="263">
      <c r="A263" s="15" t="n"/>
      <c r="B263" s="16" t="n"/>
      <c r="C263" s="16" t="n"/>
      <c r="D263" s="15" t="n"/>
      <c r="E263" s="15" t="n"/>
      <c r="F263" s="15" t="n"/>
      <c r="G263" s="15" t="n"/>
      <c r="H263" s="16" t="n"/>
      <c r="I263" s="16" t="n"/>
    </row>
    <row r="264">
      <c r="A264" s="15" t="n"/>
      <c r="B264" s="16" t="n"/>
      <c r="C264" s="16" t="n"/>
      <c r="D264" s="15" t="n"/>
      <c r="E264" s="15" t="n"/>
      <c r="F264" s="15" t="n"/>
      <c r="G264" s="15" t="n"/>
      <c r="H264" s="16" t="n"/>
      <c r="I264" s="16" t="n"/>
    </row>
    <row r="265">
      <c r="A265" s="15" t="n"/>
      <c r="B265" s="16" t="n"/>
      <c r="C265" s="16" t="n"/>
      <c r="D265" s="15" t="n"/>
      <c r="E265" s="15" t="n"/>
      <c r="F265" s="15" t="n"/>
      <c r="G265" s="15" t="n"/>
      <c r="H265" s="16" t="n"/>
      <c r="I265" s="16" t="n"/>
    </row>
    <row r="266">
      <c r="A266" s="15" t="n"/>
      <c r="B266" s="16" t="n"/>
      <c r="C266" s="16" t="n"/>
      <c r="D266" s="15" t="n"/>
      <c r="E266" s="15" t="n"/>
      <c r="F266" s="15" t="n"/>
      <c r="G266" s="15" t="n"/>
      <c r="H266" s="16" t="n"/>
      <c r="I266" s="16" t="n"/>
    </row>
    <row r="267">
      <c r="A267" s="15" t="n"/>
      <c r="B267" s="16" t="n"/>
      <c r="C267" s="16" t="n"/>
      <c r="D267" s="15" t="n"/>
      <c r="E267" s="15" t="n"/>
      <c r="F267" s="15" t="n"/>
      <c r="G267" s="15" t="n"/>
      <c r="H267" s="16" t="n"/>
      <c r="I267" s="16" t="n"/>
    </row>
    <row r="268">
      <c r="A268" s="15" t="n"/>
      <c r="B268" s="16" t="n"/>
      <c r="C268" s="16" t="n"/>
      <c r="D268" s="15" t="n"/>
      <c r="E268" s="15" t="n"/>
      <c r="F268" s="15" t="n"/>
      <c r="G268" s="15" t="n"/>
      <c r="H268" s="16" t="n"/>
      <c r="I268" s="16" t="n"/>
    </row>
    <row r="269">
      <c r="A269" s="15" t="n"/>
      <c r="B269" s="16" t="n"/>
      <c r="C269" s="16" t="n"/>
      <c r="D269" s="15" t="n"/>
      <c r="E269" s="15" t="n"/>
      <c r="F269" s="15" t="n"/>
      <c r="G269" s="15" t="n"/>
      <c r="H269" s="16" t="n"/>
      <c r="I269" s="16" t="n"/>
    </row>
    <row r="270">
      <c r="A270" s="15" t="n"/>
      <c r="B270" s="16" t="n"/>
      <c r="C270" s="16" t="n"/>
      <c r="D270" s="15" t="n"/>
      <c r="E270" s="15" t="n"/>
      <c r="F270" s="15" t="n"/>
      <c r="G270" s="15" t="n"/>
      <c r="H270" s="16" t="n"/>
      <c r="I270" s="16" t="n"/>
    </row>
    <row r="271">
      <c r="A271" s="15" t="n"/>
      <c r="B271" s="16" t="n"/>
      <c r="C271" s="16" t="n"/>
      <c r="D271" s="15" t="n"/>
      <c r="E271" s="15" t="n"/>
      <c r="F271" s="15" t="n"/>
      <c r="G271" s="15" t="n"/>
      <c r="H271" s="16" t="n"/>
      <c r="I271" s="16" t="n"/>
    </row>
    <row r="272">
      <c r="A272" s="15" t="n"/>
      <c r="B272" s="16" t="n"/>
      <c r="C272" s="16" t="n"/>
      <c r="D272" s="15" t="n"/>
      <c r="E272" s="15" t="n"/>
      <c r="F272" s="15" t="n"/>
      <c r="G272" s="15" t="n"/>
      <c r="H272" s="16" t="n"/>
      <c r="I272" s="16" t="n"/>
    </row>
    <row r="273">
      <c r="A273" s="15" t="n"/>
      <c r="B273" s="16" t="n"/>
      <c r="C273" s="16" t="n"/>
      <c r="D273" s="15" t="n"/>
      <c r="E273" s="15" t="n"/>
      <c r="F273" s="15" t="n"/>
      <c r="G273" s="15" t="n"/>
      <c r="H273" s="16" t="n"/>
      <c r="I273" s="16" t="n"/>
    </row>
    <row r="274">
      <c r="A274" s="15" t="n"/>
      <c r="B274" s="16" t="n"/>
      <c r="C274" s="16" t="n"/>
      <c r="D274" s="15" t="n"/>
      <c r="E274" s="15" t="n"/>
      <c r="F274" s="15" t="n"/>
      <c r="G274" s="15" t="n"/>
      <c r="H274" s="16" t="n"/>
      <c r="I274" s="16" t="n"/>
    </row>
    <row r="275">
      <c r="A275" s="15" t="n"/>
      <c r="B275" s="16" t="n"/>
      <c r="C275" s="16" t="n"/>
      <c r="D275" s="15" t="n"/>
      <c r="E275" s="15" t="n"/>
      <c r="F275" s="15" t="n"/>
      <c r="G275" s="15" t="n"/>
      <c r="H275" s="16" t="n"/>
      <c r="I275" s="16" t="n"/>
    </row>
    <row r="276">
      <c r="A276" s="15" t="n"/>
      <c r="B276" s="16" t="n"/>
      <c r="C276" s="16" t="n"/>
      <c r="D276" s="15" t="n"/>
      <c r="E276" s="15" t="n"/>
      <c r="F276" s="15" t="n"/>
      <c r="G276" s="15" t="n"/>
      <c r="H276" s="16" t="n"/>
      <c r="I276" s="16" t="n"/>
    </row>
    <row r="277">
      <c r="A277" s="15" t="n"/>
      <c r="B277" s="16" t="n"/>
      <c r="C277" s="16" t="n"/>
      <c r="D277" s="15" t="n"/>
      <c r="E277" s="15" t="n"/>
      <c r="F277" s="15" t="n"/>
      <c r="G277" s="15" t="n"/>
      <c r="H277" s="16" t="n"/>
      <c r="I277" s="16" t="n"/>
    </row>
    <row r="278">
      <c r="A278" s="15" t="n"/>
      <c r="B278" s="16" t="n"/>
      <c r="C278" s="16" t="n"/>
      <c r="D278" s="15" t="n"/>
      <c r="E278" s="15" t="n"/>
      <c r="F278" s="15" t="n"/>
      <c r="G278" s="15" t="n"/>
      <c r="H278" s="16" t="n"/>
      <c r="I278" s="16" t="n"/>
    </row>
    <row r="279">
      <c r="A279" s="15" t="n"/>
      <c r="B279" s="16" t="n"/>
      <c r="C279" s="16" t="n"/>
      <c r="D279" s="15" t="n"/>
      <c r="E279" s="15" t="n"/>
      <c r="F279" s="15" t="n"/>
      <c r="G279" s="15" t="n"/>
      <c r="H279" s="16" t="n"/>
      <c r="I279" s="16" t="n"/>
    </row>
    <row r="280">
      <c r="A280" s="15" t="n"/>
      <c r="B280" s="16" t="n"/>
      <c r="C280" s="16" t="n"/>
      <c r="D280" s="15" t="n"/>
      <c r="E280" s="15" t="n"/>
      <c r="F280" s="15" t="n"/>
      <c r="G280" s="15" t="n"/>
      <c r="H280" s="16" t="n"/>
      <c r="I280" s="16" t="n"/>
    </row>
    <row r="281">
      <c r="A281" s="15" t="n"/>
      <c r="B281" s="16" t="n"/>
      <c r="C281" s="16" t="n"/>
      <c r="D281" s="15" t="n"/>
      <c r="E281" s="15" t="n"/>
      <c r="F281" s="15" t="n"/>
      <c r="G281" s="15" t="n"/>
      <c r="H281" s="16" t="n"/>
      <c r="I281" s="16" t="n"/>
    </row>
    <row r="282">
      <c r="A282" s="15" t="n"/>
      <c r="B282" s="16" t="n"/>
      <c r="C282" s="16" t="n"/>
      <c r="D282" s="15" t="n"/>
      <c r="E282" s="15" t="n"/>
      <c r="F282" s="15" t="n"/>
      <c r="G282" s="15" t="n"/>
      <c r="H282" s="16" t="n"/>
      <c r="I282" s="16" t="n"/>
    </row>
    <row r="283">
      <c r="A283" s="15" t="n"/>
      <c r="B283" s="16" t="n"/>
      <c r="C283" s="16" t="n"/>
      <c r="D283" s="15" t="n"/>
      <c r="E283" s="15" t="n"/>
      <c r="F283" s="15" t="n"/>
      <c r="G283" s="15" t="n"/>
      <c r="H283" s="16" t="n"/>
      <c r="I283" s="16" t="n"/>
    </row>
    <row r="284">
      <c r="A284" s="15" t="n"/>
      <c r="B284" s="16" t="n"/>
      <c r="C284" s="16" t="n"/>
      <c r="D284" s="15" t="n"/>
      <c r="E284" s="15" t="n"/>
      <c r="F284" s="15" t="n"/>
      <c r="G284" s="15" t="n"/>
      <c r="H284" s="16" t="n"/>
      <c r="I284" s="16" t="n"/>
    </row>
    <row r="285">
      <c r="A285" s="15" t="n"/>
      <c r="B285" s="16" t="n"/>
      <c r="C285" s="16" t="n"/>
      <c r="D285" s="15" t="n"/>
      <c r="E285" s="15" t="n"/>
      <c r="F285" s="15" t="n"/>
      <c r="G285" s="15" t="n"/>
      <c r="H285" s="16" t="n"/>
      <c r="I285" s="16" t="n"/>
    </row>
    <row r="286">
      <c r="A286" s="15" t="n"/>
      <c r="B286" s="16" t="n"/>
      <c r="C286" s="16" t="n"/>
      <c r="D286" s="15" t="n"/>
      <c r="E286" s="15" t="n"/>
      <c r="F286" s="15" t="n"/>
      <c r="G286" s="15" t="n"/>
      <c r="H286" s="16" t="n"/>
      <c r="I286" s="16" t="n"/>
    </row>
    <row r="287">
      <c r="A287" s="15" t="n"/>
      <c r="B287" s="16" t="n"/>
      <c r="C287" s="16" t="n"/>
      <c r="D287" s="15" t="n"/>
      <c r="E287" s="15" t="n"/>
      <c r="F287" s="15" t="n"/>
      <c r="G287" s="15" t="n"/>
      <c r="H287" s="16" t="n"/>
      <c r="I287" s="16" t="n"/>
    </row>
    <row r="288">
      <c r="A288" s="15" t="n"/>
      <c r="B288" s="16" t="n"/>
      <c r="C288" s="16" t="n"/>
      <c r="D288" s="15" t="n"/>
      <c r="E288" s="15" t="n"/>
      <c r="F288" s="15" t="n"/>
      <c r="G288" s="15" t="n"/>
      <c r="H288" s="16" t="n"/>
      <c r="I288" s="16" t="n"/>
    </row>
    <row r="289">
      <c r="A289" s="15" t="n"/>
      <c r="B289" s="16" t="n"/>
      <c r="C289" s="16" t="n"/>
      <c r="D289" s="15" t="n"/>
      <c r="E289" s="15" t="n"/>
      <c r="F289" s="15" t="n"/>
      <c r="G289" s="15" t="n"/>
      <c r="H289" s="16" t="n"/>
      <c r="I289" s="16" t="n"/>
    </row>
    <row r="290">
      <c r="A290" s="15" t="n"/>
      <c r="B290" s="16" t="n"/>
      <c r="C290" s="16" t="n"/>
      <c r="D290" s="15" t="n"/>
      <c r="E290" s="15" t="n"/>
      <c r="F290" s="15" t="n"/>
      <c r="G290" s="15" t="n"/>
      <c r="H290" s="16" t="n"/>
      <c r="I290" s="16" t="n"/>
    </row>
    <row r="291">
      <c r="A291" s="15" t="n"/>
      <c r="B291" s="16" t="n"/>
      <c r="C291" s="16" t="n"/>
      <c r="D291" s="15" t="n"/>
      <c r="E291" s="15" t="n"/>
      <c r="F291" s="15" t="n"/>
      <c r="G291" s="15" t="n"/>
      <c r="H291" s="16" t="n"/>
      <c r="I291" s="16" t="n"/>
    </row>
    <row r="292">
      <c r="A292" s="15" t="n"/>
      <c r="B292" s="16" t="n"/>
      <c r="C292" s="16" t="n"/>
      <c r="D292" s="15" t="n"/>
      <c r="E292" s="15" t="n"/>
      <c r="F292" s="15" t="n"/>
      <c r="G292" s="15" t="n"/>
      <c r="H292" s="16" t="n"/>
      <c r="I292" s="16" t="n"/>
    </row>
    <row r="293">
      <c r="A293" s="15" t="n"/>
      <c r="B293" s="16" t="n"/>
      <c r="C293" s="16" t="n"/>
      <c r="D293" s="15" t="n"/>
      <c r="E293" s="15" t="n"/>
      <c r="F293" s="15" t="n"/>
      <c r="G293" s="15" t="n"/>
      <c r="H293" s="16" t="n"/>
      <c r="I293" s="16" t="n"/>
    </row>
    <row r="294">
      <c r="A294" s="15" t="n"/>
      <c r="B294" s="16" t="n"/>
      <c r="C294" s="16" t="n"/>
      <c r="D294" s="15" t="n"/>
      <c r="E294" s="15" t="n"/>
      <c r="F294" s="15" t="n"/>
      <c r="G294" s="15" t="n"/>
      <c r="H294" s="16" t="n"/>
      <c r="I294" s="16" t="n"/>
    </row>
    <row r="295">
      <c r="A295" s="15" t="n"/>
      <c r="B295" s="16" t="n"/>
      <c r="C295" s="16" t="n"/>
      <c r="D295" s="15" t="n"/>
      <c r="E295" s="15" t="n"/>
      <c r="F295" s="15" t="n"/>
      <c r="G295" s="15" t="n"/>
      <c r="H295" s="16" t="n"/>
      <c r="I295" s="16" t="n"/>
    </row>
    <row r="296">
      <c r="A296" s="15" t="n"/>
      <c r="B296" s="16" t="n"/>
      <c r="C296" s="16" t="n"/>
      <c r="D296" s="15" t="n"/>
      <c r="E296" s="15" t="n"/>
      <c r="F296" s="15" t="n"/>
      <c r="G296" s="15" t="n"/>
      <c r="H296" s="16" t="n"/>
      <c r="I296" s="16" t="n"/>
    </row>
    <row r="297">
      <c r="A297" s="15" t="n"/>
      <c r="B297" s="16" t="n"/>
      <c r="C297" s="16" t="n"/>
      <c r="D297" s="15" t="n"/>
      <c r="E297" s="15" t="n"/>
      <c r="F297" s="15" t="n"/>
      <c r="G297" s="15" t="n"/>
      <c r="H297" s="16" t="n"/>
      <c r="I297" s="16" t="n"/>
    </row>
    <row r="298">
      <c r="A298" s="15" t="n"/>
      <c r="B298" s="16" t="n"/>
      <c r="C298" s="16" t="n"/>
      <c r="D298" s="15" t="n"/>
      <c r="E298" s="15" t="n"/>
      <c r="F298" s="15" t="n"/>
      <c r="G298" s="15" t="n"/>
      <c r="H298" s="16" t="n"/>
      <c r="I298" s="16" t="n"/>
    </row>
    <row r="299">
      <c r="A299" s="15" t="n"/>
      <c r="B299" s="16" t="n"/>
      <c r="C299" s="16" t="n"/>
      <c r="D299" s="15" t="n"/>
      <c r="E299" s="15" t="n"/>
      <c r="F299" s="15" t="n"/>
      <c r="G299" s="15" t="n"/>
      <c r="H299" s="16" t="n"/>
      <c r="I299" s="16" t="n"/>
    </row>
    <row r="300">
      <c r="A300" s="15" t="n"/>
      <c r="B300" s="16" t="n"/>
      <c r="C300" s="16" t="n"/>
      <c r="D300" s="15" t="n"/>
      <c r="E300" s="15" t="n"/>
      <c r="F300" s="15" t="n"/>
      <c r="G300" s="15" t="n"/>
      <c r="H300" s="16" t="n"/>
      <c r="I300" s="16" t="n"/>
    </row>
    <row r="301">
      <c r="A301" s="15" t="n"/>
      <c r="B301" s="16" t="n"/>
      <c r="C301" s="16" t="n"/>
      <c r="D301" s="15" t="n"/>
      <c r="E301" s="15" t="n"/>
      <c r="F301" s="15" t="n"/>
      <c r="G301" s="15" t="n"/>
      <c r="H301" s="16" t="n"/>
      <c r="I301" s="16" t="n"/>
    </row>
    <row r="302">
      <c r="A302" s="15" t="n"/>
      <c r="B302" s="16" t="n"/>
      <c r="C302" s="16" t="n"/>
      <c r="D302" s="15" t="n"/>
      <c r="E302" s="15" t="n"/>
      <c r="F302" s="15" t="n"/>
      <c r="G302" s="15" t="n"/>
      <c r="H302" s="16" t="n"/>
      <c r="I302" s="16" t="n"/>
    </row>
    <row r="303">
      <c r="A303" s="15" t="n"/>
      <c r="B303" s="16" t="n"/>
      <c r="C303" s="16" t="n"/>
      <c r="D303" s="15" t="n"/>
      <c r="E303" s="15" t="n"/>
      <c r="F303" s="15" t="n"/>
      <c r="G303" s="15" t="n"/>
      <c r="H303" s="16" t="n"/>
      <c r="I303" s="16" t="n"/>
    </row>
    <row r="304">
      <c r="A304" s="15" t="n"/>
      <c r="B304" s="16" t="n"/>
      <c r="C304" s="16" t="n"/>
      <c r="D304" s="15" t="n"/>
      <c r="E304" s="15" t="n"/>
      <c r="F304" s="15" t="n"/>
      <c r="G304" s="15" t="n"/>
      <c r="H304" s="16" t="n"/>
      <c r="I304" s="16" t="n"/>
    </row>
    <row r="305">
      <c r="A305" s="15" t="n"/>
      <c r="B305" s="16" t="n"/>
      <c r="C305" s="16" t="n"/>
      <c r="D305" s="15" t="n"/>
      <c r="E305" s="15" t="n"/>
      <c r="F305" s="15" t="n"/>
      <c r="G305" s="15" t="n"/>
      <c r="H305" s="16" t="n"/>
      <c r="I305" s="16" t="n"/>
    </row>
    <row r="306">
      <c r="A306" s="15" t="n"/>
      <c r="B306" s="16" t="n"/>
      <c r="C306" s="16" t="n"/>
      <c r="D306" s="15" t="n"/>
      <c r="E306" s="15" t="n"/>
      <c r="F306" s="15" t="n"/>
      <c r="G306" s="15" t="n"/>
      <c r="H306" s="16" t="n"/>
      <c r="I306" s="16" t="n"/>
    </row>
    <row r="307">
      <c r="A307" s="15" t="n"/>
      <c r="B307" s="16" t="n"/>
      <c r="C307" s="16" t="n"/>
      <c r="D307" s="15" t="n"/>
      <c r="E307" s="15" t="n"/>
      <c r="F307" s="15" t="n"/>
      <c r="G307" s="15" t="n"/>
      <c r="H307" s="16" t="n"/>
      <c r="I307" s="16" t="n"/>
    </row>
    <row r="308">
      <c r="A308" s="15" t="n"/>
      <c r="B308" s="16" t="n"/>
      <c r="C308" s="16" t="n"/>
      <c r="D308" s="15" t="n"/>
      <c r="E308" s="15" t="n"/>
      <c r="F308" s="15" t="n"/>
      <c r="G308" s="15" t="n"/>
      <c r="H308" s="16" t="n"/>
      <c r="I308" s="16" t="n"/>
    </row>
    <row r="309">
      <c r="A309" s="15" t="n"/>
      <c r="B309" s="16" t="n"/>
      <c r="C309" s="16" t="n"/>
      <c r="D309" s="15" t="n"/>
      <c r="E309" s="15" t="n"/>
      <c r="F309" s="15" t="n"/>
      <c r="G309" s="15" t="n"/>
      <c r="H309" s="16" t="n"/>
      <c r="I309" s="16" t="n"/>
    </row>
    <row r="310">
      <c r="A310" s="15" t="n"/>
      <c r="B310" s="16" t="n"/>
      <c r="C310" s="16" t="n"/>
      <c r="D310" s="15" t="n"/>
      <c r="E310" s="15" t="n"/>
      <c r="F310" s="15" t="n"/>
      <c r="G310" s="15" t="n"/>
      <c r="H310" s="16" t="n"/>
      <c r="I310" s="16" t="n"/>
    </row>
    <row r="311">
      <c r="A311" s="15" t="n"/>
      <c r="B311" s="16" t="n"/>
      <c r="C311" s="16" t="n"/>
      <c r="D311" s="15" t="n"/>
      <c r="E311" s="15" t="n"/>
      <c r="F311" s="15" t="n"/>
      <c r="G311" s="15" t="n"/>
      <c r="H311" s="16" t="n"/>
      <c r="I311" s="16" t="n"/>
    </row>
    <row r="312">
      <c r="A312" s="15" t="n"/>
      <c r="B312" s="16" t="n"/>
      <c r="C312" s="16" t="n"/>
      <c r="D312" s="15" t="n"/>
      <c r="E312" s="15" t="n"/>
      <c r="F312" s="15" t="n"/>
      <c r="G312" s="15" t="n"/>
      <c r="H312" s="16" t="n"/>
      <c r="I312" s="16" t="n"/>
    </row>
    <row r="313">
      <c r="A313" s="15" t="n"/>
      <c r="B313" s="16" t="n"/>
      <c r="C313" s="16" t="n"/>
      <c r="D313" s="15" t="n"/>
      <c r="E313" s="15" t="n"/>
      <c r="F313" s="15" t="n"/>
      <c r="G313" s="15" t="n"/>
      <c r="H313" s="16" t="n"/>
      <c r="I313" s="16" t="n"/>
    </row>
    <row r="314">
      <c r="A314" s="15" t="n"/>
      <c r="B314" s="16" t="n"/>
      <c r="C314" s="16" t="n"/>
      <c r="D314" s="15" t="n"/>
      <c r="E314" s="15" t="n"/>
      <c r="F314" s="15" t="n"/>
      <c r="G314" s="15" t="n"/>
      <c r="H314" s="16" t="n"/>
      <c r="I314" s="16" t="n"/>
    </row>
    <row r="315">
      <c r="A315" s="15" t="n"/>
      <c r="B315" s="16" t="n"/>
      <c r="C315" s="16" t="n"/>
      <c r="D315" s="15" t="n"/>
      <c r="E315" s="15" t="n"/>
      <c r="F315" s="15" t="n"/>
      <c r="G315" s="15" t="n"/>
      <c r="H315" s="16" t="n"/>
      <c r="I315" s="16" t="n"/>
    </row>
    <row r="316">
      <c r="A316" s="15" t="n"/>
      <c r="B316" s="16" t="n"/>
      <c r="C316" s="16" t="n"/>
      <c r="D316" s="15" t="n"/>
      <c r="E316" s="15" t="n"/>
      <c r="F316" s="15" t="n"/>
      <c r="G316" s="15" t="n"/>
      <c r="H316" s="16" t="n"/>
      <c r="I316" s="16" t="n"/>
    </row>
    <row r="317">
      <c r="A317" s="15" t="n"/>
      <c r="B317" s="16" t="n"/>
      <c r="C317" s="16" t="n"/>
      <c r="D317" s="15" t="n"/>
      <c r="E317" s="15" t="n"/>
      <c r="F317" s="15" t="n"/>
      <c r="G317" s="15" t="n"/>
      <c r="H317" s="16" t="n"/>
      <c r="I317" s="16" t="n"/>
    </row>
    <row r="318">
      <c r="A318" s="15" t="n"/>
      <c r="B318" s="16" t="n"/>
      <c r="C318" s="16" t="n"/>
      <c r="D318" s="15" t="n"/>
      <c r="E318" s="15" t="n"/>
      <c r="F318" s="15" t="n"/>
      <c r="G318" s="15" t="n"/>
      <c r="H318" s="16" t="n"/>
      <c r="I318" s="16" t="n"/>
    </row>
    <row r="319">
      <c r="A319" s="15" t="n"/>
      <c r="B319" s="16" t="n"/>
      <c r="C319" s="16" t="n"/>
      <c r="D319" s="15" t="n"/>
      <c r="E319" s="15" t="n"/>
      <c r="F319" s="15" t="n"/>
      <c r="G319" s="15" t="n"/>
      <c r="H319" s="16" t="n"/>
      <c r="I319" s="16" t="n"/>
    </row>
    <row r="320">
      <c r="A320" s="15" t="n"/>
      <c r="B320" s="16" t="n"/>
      <c r="C320" s="16" t="n"/>
      <c r="D320" s="15" t="n"/>
      <c r="E320" s="15" t="n"/>
      <c r="F320" s="15" t="n"/>
      <c r="G320" s="15" t="n"/>
      <c r="H320" s="16" t="n"/>
      <c r="I320" s="16" t="n"/>
    </row>
    <row r="321">
      <c r="A321" s="15" t="n"/>
      <c r="B321" s="16" t="n"/>
      <c r="C321" s="16" t="n"/>
      <c r="D321" s="15" t="n"/>
      <c r="E321" s="15" t="n"/>
      <c r="F321" s="15" t="n"/>
      <c r="G321" s="15" t="n"/>
      <c r="H321" s="16" t="n"/>
      <c r="I321" s="16" t="n"/>
    </row>
    <row r="322">
      <c r="A322" s="15" t="n"/>
      <c r="B322" s="16" t="n"/>
      <c r="C322" s="16" t="n"/>
      <c r="D322" s="15" t="n"/>
      <c r="E322" s="15" t="n"/>
      <c r="F322" s="15" t="n"/>
      <c r="G322" s="15" t="n"/>
      <c r="H322" s="16" t="n"/>
      <c r="I322" s="16" t="n"/>
    </row>
    <row r="323">
      <c r="A323" s="15" t="n"/>
      <c r="B323" s="16" t="n"/>
      <c r="C323" s="16" t="n"/>
      <c r="D323" s="15" t="n"/>
      <c r="E323" s="15" t="n"/>
      <c r="F323" s="15" t="n"/>
      <c r="G323" s="15" t="n"/>
      <c r="H323" s="16" t="n"/>
      <c r="I323" s="16" t="n"/>
    </row>
    <row r="324">
      <c r="A324" s="15" t="n"/>
      <c r="B324" s="16" t="n"/>
      <c r="C324" s="16" t="n"/>
      <c r="D324" s="15" t="n"/>
      <c r="E324" s="15" t="n"/>
      <c r="F324" s="15" t="n"/>
      <c r="G324" s="15" t="n"/>
      <c r="H324" s="16" t="n"/>
      <c r="I324" s="16" t="n"/>
    </row>
    <row r="325">
      <c r="A325" s="15" t="n"/>
      <c r="B325" s="16" t="n"/>
      <c r="C325" s="16" t="n"/>
      <c r="D325" s="15" t="n"/>
      <c r="E325" s="15" t="n"/>
      <c r="F325" s="15" t="n"/>
      <c r="G325" s="15" t="n"/>
      <c r="H325" s="16" t="n"/>
      <c r="I325" s="16" t="n"/>
    </row>
    <row r="326">
      <c r="A326" s="15" t="n"/>
      <c r="B326" s="16" t="n"/>
      <c r="C326" s="16" t="n"/>
      <c r="D326" s="15" t="n"/>
      <c r="E326" s="15" t="n"/>
      <c r="F326" s="15" t="n"/>
      <c r="G326" s="15" t="n"/>
      <c r="H326" s="16" t="n"/>
      <c r="I326" s="16" t="n"/>
    </row>
    <row r="327">
      <c r="A327" s="15" t="n"/>
      <c r="B327" s="16" t="n"/>
      <c r="C327" s="16" t="n"/>
      <c r="D327" s="15" t="n"/>
      <c r="E327" s="15" t="n"/>
      <c r="F327" s="15" t="n"/>
      <c r="G327" s="15" t="n"/>
      <c r="H327" s="16" t="n"/>
      <c r="I327" s="16" t="n"/>
    </row>
    <row r="328">
      <c r="A328" s="15" t="n"/>
      <c r="B328" s="16" t="n"/>
      <c r="C328" s="16" t="n"/>
      <c r="D328" s="15" t="n"/>
      <c r="E328" s="15" t="n"/>
      <c r="F328" s="15" t="n"/>
      <c r="G328" s="15" t="n"/>
      <c r="H328" s="16" t="n"/>
      <c r="I328" s="16" t="n"/>
    </row>
    <row r="329">
      <c r="A329" s="15" t="n"/>
      <c r="B329" s="16" t="n"/>
      <c r="C329" s="16" t="n"/>
      <c r="D329" s="15" t="n"/>
      <c r="E329" s="15" t="n"/>
      <c r="F329" s="15" t="n"/>
      <c r="G329" s="15" t="n"/>
      <c r="H329" s="16" t="n"/>
      <c r="I329" s="16" t="n"/>
    </row>
    <row r="330">
      <c r="A330" s="15" t="n"/>
      <c r="B330" s="16" t="n"/>
      <c r="C330" s="16" t="n"/>
      <c r="D330" s="15" t="n"/>
      <c r="E330" s="15" t="n"/>
      <c r="F330" s="15" t="n"/>
      <c r="G330" s="15" t="n"/>
      <c r="H330" s="16" t="n"/>
      <c r="I330" s="16" t="n"/>
    </row>
    <row r="331">
      <c r="A331" s="15" t="n"/>
      <c r="B331" s="16" t="n"/>
      <c r="C331" s="16" t="n"/>
      <c r="D331" s="15" t="n"/>
      <c r="E331" s="15" t="n"/>
      <c r="F331" s="15" t="n"/>
      <c r="G331" s="15" t="n"/>
      <c r="H331" s="16" t="n"/>
      <c r="I331" s="16" t="n"/>
    </row>
    <row r="332">
      <c r="A332" s="15" t="n"/>
      <c r="B332" s="16" t="n"/>
      <c r="C332" s="16" t="n"/>
      <c r="D332" s="15" t="n"/>
      <c r="E332" s="15" t="n"/>
      <c r="F332" s="15" t="n"/>
      <c r="G332" s="15" t="n"/>
      <c r="H332" s="16" t="n"/>
      <c r="I332" s="16" t="n"/>
    </row>
    <row r="333">
      <c r="A333" s="15" t="n"/>
      <c r="B333" s="16" t="n"/>
      <c r="C333" s="16" t="n"/>
      <c r="D333" s="15" t="n"/>
      <c r="E333" s="15" t="n"/>
      <c r="F333" s="15" t="n"/>
      <c r="G333" s="15" t="n"/>
      <c r="H333" s="16" t="n"/>
      <c r="I333" s="16" t="n"/>
    </row>
    <row r="334">
      <c r="A334" s="15" t="n"/>
      <c r="B334" s="16" t="n"/>
      <c r="C334" s="16" t="n"/>
      <c r="D334" s="15" t="n"/>
      <c r="E334" s="15" t="n"/>
      <c r="F334" s="15" t="n"/>
      <c r="G334" s="15" t="n"/>
      <c r="H334" s="16" t="n"/>
      <c r="I334" s="16" t="n"/>
    </row>
    <row r="335">
      <c r="A335" s="15" t="n"/>
      <c r="B335" s="16" t="n"/>
      <c r="C335" s="16" t="n"/>
      <c r="D335" s="15" t="n"/>
      <c r="E335" s="15" t="n"/>
      <c r="F335" s="15" t="n"/>
      <c r="G335" s="15" t="n"/>
      <c r="H335" s="16" t="n"/>
      <c r="I335" s="16" t="n"/>
    </row>
    <row r="336">
      <c r="A336" s="15" t="n"/>
      <c r="B336" s="16" t="n"/>
      <c r="C336" s="16" t="n"/>
      <c r="D336" s="15" t="n"/>
      <c r="E336" s="15" t="n"/>
      <c r="F336" s="15" t="n"/>
      <c r="G336" s="15" t="n"/>
      <c r="H336" s="16" t="n"/>
      <c r="I336" s="16" t="n"/>
    </row>
    <row r="337">
      <c r="A337" s="15" t="n"/>
      <c r="B337" s="16" t="n"/>
      <c r="C337" s="16" t="n"/>
      <c r="D337" s="15" t="n"/>
      <c r="E337" s="15" t="n"/>
      <c r="F337" s="15" t="n"/>
      <c r="G337" s="15" t="n"/>
      <c r="H337" s="16" t="n"/>
      <c r="I337" s="16" t="n"/>
    </row>
    <row r="338">
      <c r="A338" s="15" t="n"/>
      <c r="B338" s="16" t="n"/>
      <c r="C338" s="16" t="n"/>
      <c r="D338" s="15" t="n"/>
      <c r="E338" s="15" t="n"/>
      <c r="F338" s="15" t="n"/>
      <c r="G338" s="15" t="n"/>
      <c r="H338" s="16" t="n"/>
      <c r="I338" s="16" t="n"/>
    </row>
    <row r="339">
      <c r="A339" s="15" t="n"/>
      <c r="B339" s="16" t="n"/>
      <c r="C339" s="16" t="n"/>
      <c r="D339" s="15" t="n"/>
      <c r="E339" s="15" t="n"/>
      <c r="F339" s="15" t="n"/>
      <c r="G339" s="15" t="n"/>
      <c r="H339" s="16" t="n"/>
      <c r="I339" s="16" t="n"/>
    </row>
    <row r="340">
      <c r="A340" s="15" t="n"/>
      <c r="B340" s="16" t="n"/>
      <c r="C340" s="16" t="n"/>
      <c r="D340" s="15" t="n"/>
      <c r="E340" s="15" t="n"/>
      <c r="F340" s="15" t="n"/>
      <c r="G340" s="15" t="n"/>
      <c r="H340" s="16" t="n"/>
      <c r="I340" s="16" t="n"/>
    </row>
    <row r="341">
      <c r="A341" s="15" t="n"/>
      <c r="B341" s="16" t="n"/>
      <c r="C341" s="16" t="n"/>
      <c r="D341" s="15" t="n"/>
      <c r="E341" s="15" t="n"/>
      <c r="F341" s="15" t="n"/>
      <c r="G341" s="15" t="n"/>
      <c r="H341" s="16" t="n"/>
      <c r="I341" s="16" t="n"/>
    </row>
    <row r="342">
      <c r="A342" s="15" t="n"/>
      <c r="B342" s="16" t="n"/>
      <c r="C342" s="16" t="n"/>
      <c r="D342" s="15" t="n"/>
      <c r="E342" s="15" t="n"/>
      <c r="F342" s="15" t="n"/>
      <c r="G342" s="15" t="n"/>
      <c r="H342" s="16" t="n"/>
      <c r="I342" s="16" t="n"/>
    </row>
    <row r="343">
      <c r="A343" s="15" t="n"/>
      <c r="B343" s="16" t="n"/>
      <c r="C343" s="16" t="n"/>
      <c r="D343" s="15" t="n"/>
      <c r="E343" s="15" t="n"/>
      <c r="F343" s="15" t="n"/>
      <c r="G343" s="15" t="n"/>
      <c r="H343" s="16" t="n"/>
      <c r="I343" s="16" t="n"/>
    </row>
    <row r="344">
      <c r="A344" s="15" t="n"/>
      <c r="B344" s="16" t="n"/>
      <c r="C344" s="16" t="n"/>
      <c r="D344" s="15" t="n"/>
      <c r="E344" s="15" t="n"/>
      <c r="F344" s="15" t="n"/>
      <c r="G344" s="15" t="n"/>
      <c r="H344" s="16" t="n"/>
      <c r="I344" s="16" t="n"/>
    </row>
    <row r="345">
      <c r="A345" s="15" t="n"/>
      <c r="B345" s="16" t="n"/>
      <c r="C345" s="16" t="n"/>
      <c r="D345" s="15" t="n"/>
      <c r="E345" s="15" t="n"/>
      <c r="F345" s="15" t="n"/>
      <c r="G345" s="15" t="n"/>
      <c r="H345" s="16" t="n"/>
      <c r="I345" s="16" t="n"/>
    </row>
    <row r="346">
      <c r="A346" s="15" t="n"/>
      <c r="B346" s="16" t="n"/>
      <c r="C346" s="16" t="n"/>
      <c r="D346" s="15" t="n"/>
      <c r="E346" s="15" t="n"/>
      <c r="F346" s="15" t="n"/>
      <c r="G346" s="15" t="n"/>
      <c r="H346" s="16" t="n"/>
      <c r="I346" s="16" t="n"/>
    </row>
    <row r="347">
      <c r="A347" s="15" t="n"/>
      <c r="B347" s="16" t="n"/>
      <c r="C347" s="16" t="n"/>
      <c r="D347" s="15" t="n"/>
      <c r="E347" s="15" t="n"/>
      <c r="F347" s="15" t="n"/>
      <c r="G347" s="15" t="n"/>
      <c r="H347" s="16" t="n"/>
      <c r="I347" s="16" t="n"/>
    </row>
    <row r="348">
      <c r="A348" s="15" t="n"/>
      <c r="B348" s="16" t="n"/>
      <c r="C348" s="16" t="n"/>
      <c r="D348" s="15" t="n"/>
      <c r="E348" s="15" t="n"/>
      <c r="F348" s="15" t="n"/>
      <c r="G348" s="15" t="n"/>
      <c r="H348" s="16" t="n"/>
      <c r="I348" s="16" t="n"/>
    </row>
    <row r="349">
      <c r="A349" s="15" t="n"/>
      <c r="B349" s="16" t="n"/>
      <c r="C349" s="16" t="n"/>
      <c r="D349" s="15" t="n"/>
      <c r="E349" s="15" t="n"/>
      <c r="F349" s="15" t="n"/>
      <c r="G349" s="15" t="n"/>
      <c r="H349" s="16" t="n"/>
      <c r="I349" s="16" t="n"/>
    </row>
    <row r="350">
      <c r="A350" s="15" t="n"/>
      <c r="B350" s="16" t="n"/>
      <c r="C350" s="16" t="n"/>
      <c r="D350" s="15" t="n"/>
      <c r="E350" s="15" t="n"/>
      <c r="F350" s="15" t="n"/>
      <c r="G350" s="15" t="n"/>
      <c r="H350" s="16" t="n"/>
      <c r="I350" s="16" t="n"/>
    </row>
    <row r="351">
      <c r="A351" s="15" t="n"/>
      <c r="B351" s="16" t="n"/>
      <c r="C351" s="16" t="n"/>
      <c r="D351" s="15" t="n"/>
      <c r="E351" s="15" t="n"/>
      <c r="F351" s="15" t="n"/>
      <c r="G351" s="15" t="n"/>
      <c r="H351" s="16" t="n"/>
      <c r="I351" s="16" t="n"/>
    </row>
    <row r="352">
      <c r="A352" s="15" t="n"/>
      <c r="B352" s="16" t="n"/>
      <c r="C352" s="16" t="n"/>
      <c r="D352" s="15" t="n"/>
      <c r="E352" s="15" t="n"/>
      <c r="F352" s="15" t="n"/>
      <c r="G352" s="15" t="n"/>
      <c r="H352" s="16" t="n"/>
      <c r="I352" s="16" t="n"/>
    </row>
    <row r="353">
      <c r="A353" s="15" t="n"/>
      <c r="B353" s="16" t="n"/>
      <c r="C353" s="16" t="n"/>
      <c r="D353" s="15" t="n"/>
      <c r="E353" s="15" t="n"/>
      <c r="F353" s="15" t="n"/>
      <c r="G353" s="15" t="n"/>
      <c r="H353" s="16" t="n"/>
      <c r="I353" s="16" t="n"/>
    </row>
    <row r="354">
      <c r="A354" s="15" t="n"/>
      <c r="B354" s="16" t="n"/>
      <c r="C354" s="16" t="n"/>
      <c r="D354" s="15" t="n"/>
      <c r="E354" s="15" t="n"/>
      <c r="F354" s="15" t="n"/>
      <c r="G354" s="15" t="n"/>
      <c r="H354" s="16" t="n"/>
      <c r="I354" s="16" t="n"/>
    </row>
    <row r="355">
      <c r="A355" s="15" t="n"/>
      <c r="B355" s="16" t="n"/>
      <c r="C355" s="16" t="n"/>
      <c r="D355" s="15" t="n"/>
      <c r="E355" s="15" t="n"/>
      <c r="F355" s="15" t="n"/>
      <c r="G355" s="15" t="n"/>
      <c r="H355" s="16" t="n"/>
      <c r="I355" s="16" t="n"/>
    </row>
    <row r="356">
      <c r="A356" s="15" t="n"/>
      <c r="B356" s="16" t="n"/>
      <c r="C356" s="16" t="n"/>
      <c r="D356" s="15" t="n"/>
      <c r="E356" s="15" t="n"/>
      <c r="F356" s="15" t="n"/>
      <c r="G356" s="15" t="n"/>
      <c r="H356" s="16" t="n"/>
      <c r="I356" s="16" t="n"/>
    </row>
    <row r="357">
      <c r="A357" s="15" t="n"/>
      <c r="B357" s="16" t="n"/>
      <c r="C357" s="16" t="n"/>
      <c r="D357" s="15" t="n"/>
      <c r="E357" s="15" t="n"/>
      <c r="F357" s="15" t="n"/>
      <c r="G357" s="15" t="n"/>
      <c r="H357" s="16" t="n"/>
      <c r="I357" s="16" t="n"/>
    </row>
    <row r="358">
      <c r="A358" s="15" t="n"/>
      <c r="B358" s="16" t="n"/>
      <c r="C358" s="16" t="n"/>
      <c r="D358" s="15" t="n"/>
      <c r="E358" s="15" t="n"/>
      <c r="F358" s="15" t="n"/>
      <c r="G358" s="15" t="n"/>
      <c r="H358" s="16" t="n"/>
      <c r="I358" s="16" t="n"/>
    </row>
    <row r="359">
      <c r="A359" s="15" t="n"/>
      <c r="B359" s="16" t="n"/>
      <c r="C359" s="16" t="n"/>
      <c r="D359" s="15" t="n"/>
      <c r="E359" s="15" t="n"/>
      <c r="F359" s="15" t="n"/>
      <c r="G359" s="15" t="n"/>
      <c r="H359" s="16" t="n"/>
      <c r="I359" s="16" t="n"/>
    </row>
    <row r="360">
      <c r="A360" s="15" t="n"/>
      <c r="B360" s="16" t="n"/>
      <c r="C360" s="16" t="n"/>
      <c r="D360" s="15" t="n"/>
      <c r="E360" s="15" t="n"/>
      <c r="F360" s="15" t="n"/>
      <c r="G360" s="15" t="n"/>
      <c r="H360" s="16" t="n"/>
      <c r="I360" s="16" t="n"/>
    </row>
    <row r="361">
      <c r="A361" s="15" t="n"/>
      <c r="B361" s="16" t="n"/>
      <c r="C361" s="16" t="n"/>
      <c r="D361" s="15" t="n"/>
      <c r="E361" s="15" t="n"/>
      <c r="F361" s="15" t="n"/>
      <c r="G361" s="15" t="n"/>
      <c r="H361" s="16" t="n"/>
      <c r="I361" s="16" t="n"/>
    </row>
    <row r="362">
      <c r="A362" s="15" t="n"/>
      <c r="B362" s="16" t="n"/>
      <c r="C362" s="16" t="n"/>
      <c r="D362" s="15" t="n"/>
      <c r="E362" s="15" t="n"/>
      <c r="F362" s="15" t="n"/>
      <c r="G362" s="15" t="n"/>
      <c r="H362" s="16" t="n"/>
      <c r="I362" s="16" t="n"/>
    </row>
    <row r="363">
      <c r="A363" s="15" t="n"/>
      <c r="B363" s="16" t="n"/>
      <c r="C363" s="16" t="n"/>
      <c r="D363" s="15" t="n"/>
      <c r="E363" s="15" t="n"/>
      <c r="F363" s="15" t="n"/>
      <c r="G363" s="15" t="n"/>
      <c r="H363" s="16" t="n"/>
      <c r="I363" s="16" t="n"/>
    </row>
    <row r="364">
      <c r="A364" s="15" t="n"/>
      <c r="B364" s="16" t="n"/>
      <c r="C364" s="16" t="n"/>
      <c r="D364" s="15" t="n"/>
      <c r="E364" s="15" t="n"/>
      <c r="F364" s="15" t="n"/>
      <c r="G364" s="15" t="n"/>
      <c r="H364" s="16" t="n"/>
      <c r="I364" s="16" t="n"/>
    </row>
    <row r="365">
      <c r="A365" s="15" t="n"/>
      <c r="B365" s="16" t="n"/>
      <c r="C365" s="16" t="n"/>
      <c r="D365" s="15" t="n"/>
      <c r="E365" s="15" t="n"/>
      <c r="F365" s="15" t="n"/>
      <c r="G365" s="15" t="n"/>
      <c r="H365" s="16" t="n"/>
      <c r="I365" s="16" t="n"/>
    </row>
    <row r="366">
      <c r="A366" s="15" t="n"/>
      <c r="B366" s="16" t="n"/>
      <c r="C366" s="16" t="n"/>
      <c r="D366" s="15" t="n"/>
      <c r="E366" s="15" t="n"/>
      <c r="F366" s="15" t="n"/>
      <c r="G366" s="15" t="n"/>
      <c r="H366" s="16" t="n"/>
      <c r="I366" s="16" t="n"/>
    </row>
    <row r="367">
      <c r="A367" s="15" t="n"/>
      <c r="B367" s="16" t="n"/>
      <c r="C367" s="16" t="n"/>
      <c r="D367" s="15" t="n"/>
      <c r="E367" s="15" t="n"/>
      <c r="F367" s="15" t="n"/>
      <c r="G367" s="15" t="n"/>
      <c r="H367" s="16" t="n"/>
      <c r="I367" s="16" t="n"/>
    </row>
    <row r="368">
      <c r="A368" s="15" t="n"/>
      <c r="B368" s="16" t="n"/>
      <c r="C368" s="16" t="n"/>
      <c r="D368" s="15" t="n"/>
      <c r="E368" s="15" t="n"/>
      <c r="F368" s="15" t="n"/>
      <c r="G368" s="15" t="n"/>
      <c r="H368" s="16" t="n"/>
      <c r="I368" s="16" t="n"/>
    </row>
    <row r="369">
      <c r="A369" s="15" t="n"/>
      <c r="B369" s="16" t="n"/>
      <c r="C369" s="16" t="n"/>
      <c r="D369" s="15" t="n"/>
      <c r="E369" s="15" t="n"/>
      <c r="F369" s="15" t="n"/>
      <c r="G369" s="15" t="n"/>
      <c r="H369" s="16" t="n"/>
      <c r="I369" s="16" t="n"/>
    </row>
    <row r="370">
      <c r="A370" s="15" t="n"/>
      <c r="B370" s="16" t="n"/>
      <c r="C370" s="16" t="n"/>
      <c r="D370" s="15" t="n"/>
      <c r="E370" s="15" t="n"/>
      <c r="F370" s="15" t="n"/>
      <c r="G370" s="15" t="n"/>
      <c r="H370" s="16" t="n"/>
      <c r="I370" s="16" t="n"/>
    </row>
    <row r="371">
      <c r="A371" s="15" t="n"/>
      <c r="B371" s="16" t="n"/>
      <c r="C371" s="16" t="n"/>
      <c r="D371" s="15" t="n"/>
      <c r="E371" s="15" t="n"/>
      <c r="F371" s="15" t="n"/>
      <c r="G371" s="15" t="n"/>
      <c r="H371" s="16" t="n"/>
      <c r="I371" s="16" t="n"/>
    </row>
    <row r="372">
      <c r="A372" s="15" t="n"/>
      <c r="B372" s="16" t="n"/>
      <c r="C372" s="16" t="n"/>
      <c r="D372" s="15" t="n"/>
      <c r="E372" s="15" t="n"/>
      <c r="F372" s="15" t="n"/>
      <c r="G372" s="15" t="n"/>
      <c r="H372" s="16" t="n"/>
      <c r="I372" s="16" t="n"/>
    </row>
    <row r="373">
      <c r="A373" s="15" t="n"/>
      <c r="B373" s="16" t="n"/>
      <c r="C373" s="16" t="n"/>
      <c r="D373" s="15" t="n"/>
      <c r="E373" s="15" t="n"/>
      <c r="F373" s="15" t="n"/>
      <c r="G373" s="15" t="n"/>
      <c r="H373" s="16" t="n"/>
      <c r="I373" s="16" t="n"/>
    </row>
    <row r="374">
      <c r="A374" s="15" t="n"/>
      <c r="B374" s="16" t="n"/>
      <c r="C374" s="16" t="n"/>
      <c r="D374" s="15" t="n"/>
      <c r="E374" s="15" t="n"/>
      <c r="F374" s="15" t="n"/>
      <c r="G374" s="15" t="n"/>
      <c r="H374" s="16" t="n"/>
      <c r="I374" s="16" t="n"/>
    </row>
    <row r="375">
      <c r="A375" s="15" t="n"/>
      <c r="B375" s="16" t="n"/>
      <c r="C375" s="16" t="n"/>
      <c r="D375" s="15" t="n"/>
      <c r="E375" s="15" t="n"/>
      <c r="F375" s="15" t="n"/>
      <c r="G375" s="15" t="n"/>
      <c r="H375" s="16" t="n"/>
      <c r="I375" s="16" t="n"/>
    </row>
    <row r="376">
      <c r="A376" s="15" t="n"/>
      <c r="B376" s="16" t="n"/>
      <c r="C376" s="16" t="n"/>
      <c r="D376" s="15" t="n"/>
      <c r="E376" s="15" t="n"/>
      <c r="F376" s="15" t="n"/>
      <c r="G376" s="15" t="n"/>
      <c r="H376" s="16" t="n"/>
      <c r="I376" s="16" t="n"/>
    </row>
    <row r="377">
      <c r="A377" s="15" t="n"/>
      <c r="B377" s="16" t="n"/>
      <c r="C377" s="16" t="n"/>
      <c r="D377" s="15" t="n"/>
      <c r="E377" s="15" t="n"/>
      <c r="F377" s="15" t="n"/>
      <c r="G377" s="15" t="n"/>
      <c r="H377" s="16" t="n"/>
      <c r="I377" s="16" t="n"/>
    </row>
    <row r="378">
      <c r="A378" s="15" t="n"/>
      <c r="B378" s="16" t="n"/>
      <c r="C378" s="16" t="n"/>
      <c r="D378" s="15" t="n"/>
      <c r="E378" s="15" t="n"/>
      <c r="F378" s="15" t="n"/>
      <c r="G378" s="15" t="n"/>
      <c r="H378" s="16" t="n"/>
      <c r="I378" s="16" t="n"/>
    </row>
    <row r="379">
      <c r="A379" s="15" t="n"/>
      <c r="B379" s="16" t="n"/>
      <c r="C379" s="16" t="n"/>
      <c r="D379" s="15" t="n"/>
      <c r="E379" s="15" t="n"/>
      <c r="F379" s="15" t="n"/>
      <c r="G379" s="15" t="n"/>
      <c r="H379" s="16" t="n"/>
      <c r="I379" s="16" t="n"/>
    </row>
    <row r="380">
      <c r="A380" s="15" t="n"/>
      <c r="B380" s="16" t="n"/>
      <c r="C380" s="16" t="n"/>
      <c r="D380" s="15" t="n"/>
      <c r="E380" s="15" t="n"/>
      <c r="F380" s="15" t="n"/>
      <c r="G380" s="15" t="n"/>
      <c r="H380" s="16" t="n"/>
      <c r="I380" s="16" t="n"/>
    </row>
    <row r="381">
      <c r="A381" s="15" t="n"/>
      <c r="B381" s="16" t="n"/>
      <c r="C381" s="16" t="n"/>
      <c r="D381" s="15" t="n"/>
      <c r="E381" s="15" t="n"/>
      <c r="F381" s="15" t="n"/>
      <c r="G381" s="15" t="n"/>
      <c r="H381" s="16" t="n"/>
      <c r="I381" s="16" t="n"/>
    </row>
    <row r="382">
      <c r="A382" s="15" t="n"/>
      <c r="B382" s="16" t="n"/>
      <c r="C382" s="16" t="n"/>
      <c r="D382" s="15" t="n"/>
      <c r="E382" s="15" t="n"/>
      <c r="F382" s="15" t="n"/>
      <c r="G382" s="15" t="n"/>
      <c r="H382" s="16" t="n"/>
      <c r="I382" s="16" t="n"/>
    </row>
    <row r="383">
      <c r="A383" s="15" t="n"/>
      <c r="B383" s="16" t="n"/>
      <c r="C383" s="16" t="n"/>
      <c r="D383" s="15" t="n"/>
      <c r="E383" s="15" t="n"/>
      <c r="F383" s="15" t="n"/>
      <c r="G383" s="15" t="n"/>
      <c r="H383" s="16" t="n"/>
      <c r="I383" s="16" t="n"/>
    </row>
    <row r="384">
      <c r="A384" s="15" t="n"/>
      <c r="B384" s="16" t="n"/>
      <c r="C384" s="16" t="n"/>
      <c r="D384" s="15" t="n"/>
      <c r="E384" s="15" t="n"/>
      <c r="F384" s="15" t="n"/>
      <c r="G384" s="15" t="n"/>
      <c r="H384" s="16" t="n"/>
      <c r="I384" s="16" t="n"/>
    </row>
    <row r="385">
      <c r="A385" s="15" t="n"/>
      <c r="B385" s="16" t="n"/>
      <c r="C385" s="16" t="n"/>
      <c r="D385" s="15" t="n"/>
      <c r="E385" s="15" t="n"/>
      <c r="F385" s="15" t="n"/>
      <c r="G385" s="15" t="n"/>
      <c r="H385" s="16" t="n"/>
      <c r="I385" s="16" t="n"/>
    </row>
    <row r="386">
      <c r="A386" s="15" t="n"/>
      <c r="B386" s="16" t="n"/>
      <c r="C386" s="16" t="n"/>
      <c r="D386" s="15" t="n"/>
      <c r="E386" s="15" t="n"/>
      <c r="F386" s="15" t="n"/>
      <c r="G386" s="15" t="n"/>
      <c r="H386" s="16" t="n"/>
      <c r="I386" s="16" t="n"/>
    </row>
    <row r="387">
      <c r="A387" s="15" t="n"/>
      <c r="B387" s="16" t="n"/>
      <c r="C387" s="16" t="n"/>
      <c r="D387" s="15" t="n"/>
      <c r="E387" s="15" t="n"/>
      <c r="F387" s="15" t="n"/>
      <c r="G387" s="15" t="n"/>
      <c r="H387" s="16" t="n"/>
      <c r="I387" s="16" t="n"/>
    </row>
    <row r="388">
      <c r="A388" s="15" t="n"/>
      <c r="B388" s="16" t="n"/>
      <c r="C388" s="16" t="n"/>
      <c r="D388" s="15" t="n"/>
      <c r="E388" s="15" t="n"/>
      <c r="F388" s="15" t="n"/>
      <c r="G388" s="15" t="n"/>
      <c r="H388" s="16" t="n"/>
      <c r="I388" s="16" t="n"/>
    </row>
    <row r="389">
      <c r="A389" s="15" t="n"/>
      <c r="B389" s="16" t="n"/>
      <c r="C389" s="16" t="n"/>
      <c r="D389" s="15" t="n"/>
      <c r="E389" s="15" t="n"/>
      <c r="F389" s="15" t="n"/>
      <c r="G389" s="15" t="n"/>
      <c r="H389" s="16" t="n"/>
      <c r="I389" s="16" t="n"/>
    </row>
    <row r="390">
      <c r="A390" s="15" t="n"/>
      <c r="B390" s="16" t="n"/>
      <c r="C390" s="16" t="n"/>
      <c r="D390" s="15" t="n"/>
      <c r="E390" s="15" t="n"/>
      <c r="F390" s="15" t="n"/>
      <c r="G390" s="15" t="n"/>
      <c r="H390" s="16" t="n"/>
      <c r="I390" s="16" t="n"/>
    </row>
    <row r="391">
      <c r="A391" s="15" t="n"/>
      <c r="B391" s="16" t="n"/>
      <c r="C391" s="16" t="n"/>
      <c r="D391" s="15" t="n"/>
      <c r="E391" s="15" t="n"/>
      <c r="F391" s="15" t="n"/>
      <c r="G391" s="15" t="n"/>
      <c r="H391" s="16" t="n"/>
      <c r="I391" s="16" t="n"/>
    </row>
    <row r="392">
      <c r="A392" s="15" t="n"/>
      <c r="B392" s="16" t="n"/>
      <c r="C392" s="16" t="n"/>
      <c r="D392" s="15" t="n"/>
      <c r="E392" s="15" t="n"/>
      <c r="F392" s="15" t="n"/>
      <c r="G392" s="15" t="n"/>
      <c r="H392" s="16" t="n"/>
      <c r="I392" s="16" t="n"/>
    </row>
    <row r="393">
      <c r="A393" s="15" t="n"/>
      <c r="B393" s="16" t="n"/>
      <c r="C393" s="16" t="n"/>
      <c r="D393" s="15" t="n"/>
      <c r="E393" s="15" t="n"/>
      <c r="F393" s="15" t="n"/>
      <c r="G393" s="15" t="n"/>
      <c r="H393" s="16" t="n"/>
      <c r="I393" s="16" t="n"/>
    </row>
    <row r="394">
      <c r="A394" s="15" t="n"/>
      <c r="B394" s="16" t="n"/>
      <c r="C394" s="16" t="n"/>
      <c r="D394" s="15" t="n"/>
      <c r="E394" s="15" t="n"/>
      <c r="F394" s="15" t="n"/>
      <c r="G394" s="15" t="n"/>
      <c r="H394" s="16" t="n"/>
      <c r="I394" s="16" t="n"/>
    </row>
    <row r="395">
      <c r="A395" s="15" t="n"/>
      <c r="B395" s="16" t="n"/>
      <c r="C395" s="16" t="n"/>
      <c r="D395" s="15" t="n"/>
      <c r="E395" s="15" t="n"/>
      <c r="F395" s="15" t="n"/>
      <c r="G395" s="15" t="n"/>
      <c r="H395" s="16" t="n"/>
      <c r="I395" s="16" t="n"/>
    </row>
    <row r="396">
      <c r="A396" s="15" t="n"/>
      <c r="B396" s="16" t="n"/>
      <c r="C396" s="16" t="n"/>
      <c r="D396" s="15" t="n"/>
      <c r="E396" s="15" t="n"/>
      <c r="F396" s="15" t="n"/>
      <c r="G396" s="15" t="n"/>
      <c r="H396" s="16" t="n"/>
      <c r="I396" s="16" t="n"/>
    </row>
    <row r="397">
      <c r="A397" s="15" t="n"/>
      <c r="B397" s="16" t="n"/>
      <c r="C397" s="16" t="n"/>
      <c r="D397" s="15" t="n"/>
      <c r="E397" s="15" t="n"/>
      <c r="F397" s="15" t="n"/>
      <c r="G397" s="15" t="n"/>
      <c r="H397" s="16" t="n"/>
      <c r="I397" s="16" t="n"/>
    </row>
    <row r="398">
      <c r="A398" s="15" t="n"/>
      <c r="B398" s="16" t="n"/>
      <c r="C398" s="16" t="n"/>
      <c r="D398" s="15" t="n"/>
      <c r="E398" s="15" t="n"/>
      <c r="F398" s="15" t="n"/>
      <c r="G398" s="15" t="n"/>
      <c r="H398" s="16" t="n"/>
      <c r="I398" s="16" t="n"/>
    </row>
  </sheetData>
  <dataValidations count="3">
    <dataValidation sqref="D2:D2000" showDropDown="0" showInputMessage="0" showErrorMessage="0" allowBlank="1" errorTitle="유형 선택" error="재료분량 / 순서타이밍 / 시각적상태 중에서 고르세요." type="list">
      <formula1>"재료분량,순서타이밍,시각적상태"</formula1>
    </dataValidation>
    <dataValidation sqref="G2:G2000" showDropDown="0" showInputMessage="0" showErrorMessage="0" allowBlank="1" errorTitle="등급 선택" error="2(정확) / 1(관련) / 없음 중에서 고르세요. 0은 적지 않습니다." type="list">
      <formula1>"2,1,없음"</formula1>
    </dataValidation>
    <dataValidation sqref="B2:B2000" showDropDown="0" showInputMessage="0" showErrorMessage="0" allowBlank="1" type="list">
      <formula1>'영상목록'!$B$4:$B$60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12" customWidth="1" min="4" max="4"/>
    <col width="10" customWidth="1" min="5" max="5"/>
    <col width="44" customWidth="1" min="6" max="6"/>
    <col width="10" customWidth="1" min="7" max="7"/>
    <col width="11" customWidth="1" min="8" max="8"/>
  </cols>
  <sheetData>
    <row r="1" ht="24" customHeight="1">
      <c r="A1" s="1" t="inlineStr">
        <is>
          <t>저장된 영상 목록</t>
        </is>
      </c>
    </row>
    <row r="2">
      <c r="A2" s="2" t="inlineStr">
        <is>
          <t>서버 DB(data/vault.db) 에서 뽑은 현재 상태입니다. 영상을 더 저장하면 아래 빈 줄에 이어서 추가하세요.</t>
        </is>
      </c>
    </row>
    <row r="3">
      <c r="A3" s="9" t="inlineStr">
        <is>
          <t>No</t>
        </is>
      </c>
      <c r="B3" s="9" t="inlineStr">
        <is>
          <t>video_id</t>
        </is>
      </c>
      <c r="C3" s="9" t="inlineStr">
        <is>
          <t>제목</t>
        </is>
      </c>
      <c r="D3" s="9" t="inlineStr">
        <is>
          <t>채널</t>
        </is>
      </c>
      <c r="E3" s="9" t="inlineStr">
        <is>
          <t>길이(초)</t>
        </is>
      </c>
      <c r="F3" s="9" t="inlineStr">
        <is>
          <t>시청 URL (watch 주소)</t>
        </is>
      </c>
      <c r="G3" s="9" t="inlineStr">
        <is>
          <t>상태</t>
        </is>
      </c>
      <c r="H3" s="9" t="inlineStr">
        <is>
          <t>질문 대상</t>
        </is>
      </c>
    </row>
    <row r="4">
      <c r="A4" s="15" t="n">
        <v>1</v>
      </c>
      <c r="B4" s="16" t="inlineStr">
        <is>
          <t>PbCq-C9GRzs</t>
        </is>
      </c>
      <c r="C4" s="16" t="inlineStr">
        <is>
          <t>고기 하나도 안 부럽고요:) 살살 녹는 가지 덮밥 만드는 법 #shorts</t>
        </is>
      </c>
      <c r="D4" s="16" t="inlineStr">
        <is>
          <t>지현쿡</t>
        </is>
      </c>
      <c r="E4" s="15" t="n">
        <v>20.1</v>
      </c>
      <c r="F4" s="17" t="inlineStr">
        <is>
          <t>https://www.youtube.com/watch?v=PbCq-C9GRzs</t>
        </is>
      </c>
      <c r="G4" s="15" t="inlineStr">
        <is>
          <t>ready</t>
        </is>
      </c>
      <c r="H4" s="15" t="inlineStr">
        <is>
          <t>O</t>
        </is>
      </c>
    </row>
    <row r="5">
      <c r="A5" s="15" t="n">
        <v>2</v>
      </c>
      <c r="B5" s="16" t="inlineStr">
        <is>
          <t>sfPYotqyD18</t>
        </is>
      </c>
      <c r="C5" s="16" t="inlineStr">
        <is>
          <t>라면 보다 쉬운 파스타 만들기</t>
        </is>
      </c>
      <c r="D5" s="16" t="inlineStr">
        <is>
          <t>지현쿡</t>
        </is>
      </c>
      <c r="E5" s="15" t="n">
        <v>14.9</v>
      </c>
      <c r="F5" s="17" t="inlineStr">
        <is>
          <t>https://www.youtube.com/watch?v=sfPYotqyD18</t>
        </is>
      </c>
      <c r="G5" s="15" t="inlineStr">
        <is>
          <t>ready</t>
        </is>
      </c>
      <c r="H5" s="15" t="inlineStr">
        <is>
          <t>O</t>
        </is>
      </c>
    </row>
    <row r="6">
      <c r="A6" s="15" t="n">
        <v>3</v>
      </c>
      <c r="B6" s="16" t="inlineStr">
        <is>
          <t>Z7z0wW62obE</t>
        </is>
      </c>
      <c r="C6" s="16" t="inlineStr">
        <is>
          <t>일본 남자들의 소울푸드</t>
        </is>
      </c>
      <c r="D6" s="16" t="inlineStr">
        <is>
          <t>지현쿡</t>
        </is>
      </c>
      <c r="E6" s="15" t="n">
        <v>54</v>
      </c>
      <c r="F6" s="17" t="inlineStr">
        <is>
          <t>https://www.youtube.com/watch?v=Z7z0wW62obE</t>
        </is>
      </c>
      <c r="G6" s="15" t="inlineStr">
        <is>
          <t>ready</t>
        </is>
      </c>
      <c r="H6" s="15" t="inlineStr">
        <is>
          <t>O</t>
        </is>
      </c>
    </row>
    <row r="7">
      <c r="A7" s="15" t="n">
        <v>4</v>
      </c>
      <c r="B7" s="16" t="inlineStr">
        <is>
          <t>Rjfzpzj3bug</t>
        </is>
      </c>
      <c r="C7" s="16" t="inlineStr">
        <is>
          <t>절대 모르면 안되는 알배추 레시피</t>
        </is>
      </c>
      <c r="D7" s="16" t="inlineStr">
        <is>
          <t>-</t>
        </is>
      </c>
      <c r="E7" s="15" t="n">
        <v>20.4</v>
      </c>
      <c r="F7" s="17" t="inlineStr">
        <is>
          <t>https://www.youtube.com/watch?v=Rjfzpzj3bug</t>
        </is>
      </c>
      <c r="G7" s="15" t="inlineStr">
        <is>
          <t>ready</t>
        </is>
      </c>
      <c r="H7" s="15" t="inlineStr">
        <is>
          <t>O</t>
        </is>
      </c>
    </row>
    <row r="8">
      <c r="A8" s="15" t="n">
        <v>5</v>
      </c>
      <c r="B8" s="16" t="inlineStr">
        <is>
          <t>z8QPN-ITUvI</t>
        </is>
      </c>
      <c r="C8" s="16" t="inlineStr">
        <is>
          <t>도파민 터지는 참치비빔칼국수</t>
        </is>
      </c>
      <c r="D8" s="16" t="inlineStr">
        <is>
          <t>-</t>
        </is>
      </c>
      <c r="E8" s="15" t="n">
        <v>30</v>
      </c>
      <c r="F8" s="17" t="inlineStr">
        <is>
          <t>https://www.youtube.com/watch?v=z8QPN-ITUvI</t>
        </is>
      </c>
      <c r="G8" s="15" t="inlineStr">
        <is>
          <t>ready</t>
        </is>
      </c>
      <c r="H8" s="15" t="inlineStr">
        <is>
          <t>O</t>
        </is>
      </c>
    </row>
    <row r="9">
      <c r="A9" s="15" t="n">
        <v>6</v>
      </c>
      <c r="B9" s="16" t="inlineStr">
        <is>
          <t>igP4-Rq5zgM</t>
        </is>
      </c>
      <c r="C9" s="16" t="inlineStr">
        <is>
          <t>사리곰탕 파스타 #shorts #쇼츠 #사리곰탕면 #사리곰탕 #자취요리 #쉬운요리 #요리 #라면 #집밥요리 #간단한요리 #점심메뉴 #집밥 #사리곰탕파스타 #한국라면 #크림파스타</t>
        </is>
      </c>
      <c r="D9" s="16" t="inlineStr">
        <is>
          <t>-</t>
        </is>
      </c>
      <c r="E9" s="15" t="n">
        <v>15.9</v>
      </c>
      <c r="F9" s="17" t="inlineStr">
        <is>
          <t>https://www.youtube.com/watch?v=igP4-Rq5zgM</t>
        </is>
      </c>
      <c r="G9" s="15" t="inlineStr">
        <is>
          <t>ready</t>
        </is>
      </c>
      <c r="H9" s="15" t="inlineStr">
        <is>
          <t>O</t>
        </is>
      </c>
    </row>
    <row r="10">
      <c r="A10" s="15" t="n">
        <v>7</v>
      </c>
      <c r="B10" s="16" t="inlineStr">
        <is>
          <t>Zlo2JQzihwc</t>
        </is>
      </c>
      <c r="C10" s="16" t="inlineStr">
        <is>
          <t>성시경이 감탄한 1등 레시피 미친 조합! #성시경 #라면레시피 #쇼츠</t>
        </is>
      </c>
      <c r="D10" s="16" t="inlineStr">
        <is>
          <t>-</t>
        </is>
      </c>
      <c r="E10" s="15" t="n">
        <v>119.1</v>
      </c>
      <c r="F10" s="17" t="inlineStr">
        <is>
          <t>https://www.youtube.com/watch?v=Zlo2JQzihwc</t>
        </is>
      </c>
      <c r="G10" s="15" t="inlineStr">
        <is>
          <t>ready</t>
        </is>
      </c>
      <c r="H10" s="15" t="inlineStr">
        <is>
          <t>O</t>
        </is>
      </c>
    </row>
    <row r="11">
      <c r="A11" s="15" t="n">
        <v>8</v>
      </c>
      <c r="B11" s="16" t="inlineStr">
        <is>
          <t>jPqpNbPT7yY</t>
        </is>
      </c>
      <c r="C11" s="16" t="inlineStr">
        <is>
          <t>명절 전부치기 동태전 혼자서도 쉽게 쉽게 노릇하고 바삭하게 #집밥 #제철음식 #cooking #레시피 #반찬 #food #shourt #쇼츠</t>
        </is>
      </c>
      <c r="D11" s="16" t="inlineStr">
        <is>
          <t>후딱 레시피 Huttak</t>
        </is>
      </c>
      <c r="E11" s="15" t="n">
        <v>33.5</v>
      </c>
      <c r="F11" s="17" t="inlineStr">
        <is>
          <t>https://www.youtube.com/watch?v=jPqpNbPT7yY</t>
        </is>
      </c>
      <c r="G11" s="15" t="inlineStr">
        <is>
          <t>ready</t>
        </is>
      </c>
      <c r="H11" s="15" t="inlineStr">
        <is>
          <t>O</t>
        </is>
      </c>
    </row>
    <row r="12">
      <c r="A12" s="15" t="n">
        <v>9</v>
      </c>
      <c r="B12" s="16" t="inlineStr">
        <is>
          <t>282ScDPvm28</t>
        </is>
      </c>
      <c r="C12" s="16" t="inlineStr">
        <is>
          <t>짜장! 재료도 간단! 만들기도 간단! #shorts</t>
        </is>
      </c>
      <c r="D12" s="16" t="inlineStr">
        <is>
          <t>후딱 레시피 Huttak</t>
        </is>
      </c>
      <c r="E12" s="15" t="n">
        <v>30.9</v>
      </c>
      <c r="F12" s="17" t="inlineStr">
        <is>
          <t>https://www.youtube.com/watch?v=282ScDPvm28</t>
        </is>
      </c>
      <c r="G12" s="15" t="inlineStr">
        <is>
          <t>ready</t>
        </is>
      </c>
      <c r="H12" s="15" t="inlineStr">
        <is>
          <t>O</t>
        </is>
      </c>
    </row>
    <row r="13">
      <c r="A13" s="15" t="n">
        <v>10</v>
      </c>
      <c r="B13" s="16" t="inlineStr">
        <is>
          <t>sPeEcFdaD0M</t>
        </is>
      </c>
      <c r="C13" s="16" t="inlineStr">
        <is>
          <t>너무 쉬워서 매일 먹는 두부 계란요리 Easy Tofu Egg Recipe</t>
        </is>
      </c>
      <c r="D13" s="16" t="inlineStr">
        <is>
          <t>후딱 레시피 Huttak</t>
        </is>
      </c>
      <c r="E13" s="15" t="n">
        <v>60</v>
      </c>
      <c r="F13" s="17" t="inlineStr">
        <is>
          <t>https://www.youtube.com/watch?v=sPeEcFdaD0M</t>
        </is>
      </c>
      <c r="G13" s="15" t="inlineStr">
        <is>
          <t>ready</t>
        </is>
      </c>
      <c r="H13" s="15" t="inlineStr">
        <is>
          <t>O</t>
        </is>
      </c>
    </row>
    <row r="14">
      <c r="A14" s="15" t="n">
        <v>11</v>
      </c>
      <c r="B14" s="16" t="inlineStr">
        <is>
          <t>rfkc9X4BItc</t>
        </is>
      </c>
      <c r="C14" s="16" t="inlineStr">
        <is>
          <t>입맛 없을 때 무조건 해보세요! 오징어 초무침 황금 레시피 #간단요리 #반찬만들기 #오징어</t>
        </is>
      </c>
      <c r="D14" s="16" t="inlineStr">
        <is>
          <t>후딱 레시피 Huttak</t>
        </is>
      </c>
      <c r="E14" s="15" t="n">
        <v>61.5</v>
      </c>
      <c r="F14" s="17" t="inlineStr">
        <is>
          <t>https://www.youtube.com/watch?v=rfkc9X4BItc</t>
        </is>
      </c>
      <c r="G14" s="15" t="inlineStr">
        <is>
          <t>ready</t>
        </is>
      </c>
      <c r="H14" s="15" t="inlineStr">
        <is>
          <t>O</t>
        </is>
      </c>
    </row>
    <row r="15">
      <c r="A15" s="15" t="n">
        <v>12</v>
      </c>
      <c r="B15" s="16" t="inlineStr">
        <is>
          <t>Hwzl8IA9NH0</t>
        </is>
      </c>
      <c r="C15" s="16" t="inlineStr">
        <is>
          <t>말도 안 되는 맛</t>
        </is>
      </c>
      <c r="D15" s="16" t="inlineStr">
        <is>
          <t>후딱 레시피 Huttak</t>
        </is>
      </c>
      <c r="E15" s="15" t="n">
        <v>27.9</v>
      </c>
      <c r="F15" s="17" t="inlineStr">
        <is>
          <t>https://www.youtube.com/watch?v=Hwzl8IA9NH0</t>
        </is>
      </c>
      <c r="G15" s="15" t="inlineStr">
        <is>
          <t>ready</t>
        </is>
      </c>
      <c r="H15" s="15" t="inlineStr">
        <is>
          <t>O</t>
        </is>
      </c>
    </row>
    <row r="16">
      <c r="A16" s="15" t="n">
        <v>13</v>
      </c>
      <c r="B16" s="16" t="inlineStr">
        <is>
          <t>11C8XqWobjQ</t>
        </is>
      </c>
      <c r="C16" s="16" t="inlineStr">
        <is>
          <t>[⭐️490만⭐️] 초간단 4분 잔치국수 뚝딱! #shorts</t>
        </is>
      </c>
      <c r="D16" s="16" t="inlineStr">
        <is>
          <t>후딱 레시피 Huttak</t>
        </is>
      </c>
      <c r="E16" s="15" t="n">
        <v>40.5</v>
      </c>
      <c r="F16" s="17" t="inlineStr">
        <is>
          <t>https://www.youtube.com/watch?v=11C8XqWobjQ</t>
        </is>
      </c>
      <c r="G16" s="15" t="inlineStr">
        <is>
          <t>ready</t>
        </is>
      </c>
      <c r="H16" s="15" t="inlineStr">
        <is>
          <t>O</t>
        </is>
      </c>
    </row>
    <row r="17">
      <c r="A17" s="15" t="n">
        <v>14</v>
      </c>
      <c r="B17" s="16" t="inlineStr">
        <is>
          <t>iDMyw61V1XM</t>
        </is>
      </c>
      <c r="C17" s="16" t="inlineStr">
        <is>
          <t>지코바는 사 먹지 마세요!</t>
        </is>
      </c>
      <c r="D17" s="16" t="inlineStr">
        <is>
          <t>후딱 레시피 Huttak</t>
        </is>
      </c>
      <c r="E17" s="15" t="n">
        <v>55</v>
      </c>
      <c r="F17" s="17" t="inlineStr">
        <is>
          <t>https://www.youtube.com/watch?v=iDMyw61V1XM</t>
        </is>
      </c>
      <c r="G17" s="15" t="inlineStr">
        <is>
          <t>ready</t>
        </is>
      </c>
      <c r="H17" s="15" t="inlineStr">
        <is>
          <t>O</t>
        </is>
      </c>
    </row>
    <row r="18">
      <c r="A18" s="15" t="n">
        <v>15</v>
      </c>
      <c r="B18" s="16" t="inlineStr">
        <is>
          <t>l3WthBEFzFw</t>
        </is>
      </c>
      <c r="C18" s="16" t="inlineStr">
        <is>
          <t>감자조림 한번보면 평생 써먹는 레시피 #shorts</t>
        </is>
      </c>
      <c r="D18" s="16" t="inlineStr">
        <is>
          <t>-</t>
        </is>
      </c>
      <c r="E18" s="15" t="n">
        <v>61</v>
      </c>
      <c r="F18" s="17" t="inlineStr">
        <is>
          <t>https://www.youtube.com/watch?v=l3WthBEFzFw</t>
        </is>
      </c>
      <c r="G18" s="15" t="inlineStr">
        <is>
          <t>ready</t>
        </is>
      </c>
      <c r="H18" s="15" t="inlineStr">
        <is>
          <t>O</t>
        </is>
      </c>
    </row>
    <row r="19">
      <c r="A19" s="15" t="n">
        <v>16</v>
      </c>
      <c r="B19" s="16" t="inlineStr">
        <is>
          <t>4due-wU9NFk</t>
        </is>
      </c>
      <c r="C19" s="16" t="inlineStr">
        <is>
          <t>삼겹살에 된장 넣었더니…🔥 밥도둑이 됐어요!</t>
        </is>
      </c>
      <c r="D19" s="16" t="inlineStr">
        <is>
          <t>-</t>
        </is>
      </c>
      <c r="E19" s="15" t="n">
        <v>55</v>
      </c>
      <c r="F19" s="17" t="inlineStr">
        <is>
          <t>https://www.youtube.com/watch?v=4due-wU9NFk</t>
        </is>
      </c>
      <c r="G19" s="15" t="inlineStr">
        <is>
          <t>ready</t>
        </is>
      </c>
      <c r="H19" s="15" t="inlineStr">
        <is>
          <t>O</t>
        </is>
      </c>
    </row>
    <row r="20">
      <c r="A20" s="15" t="n">
        <v>17</v>
      </c>
      <c r="B20" s="16" t="inlineStr">
        <is>
          <t>OgR00HBMKFs</t>
        </is>
      </c>
      <c r="C20" s="16" t="inlineStr">
        <is>
          <t>와이프 친구들이 먹고 제발 팔아달라는 김치찜!</t>
        </is>
      </c>
      <c r="D20" s="16" t="inlineStr">
        <is>
          <t>@1mincook</t>
        </is>
      </c>
      <c r="E20" s="15" t="n">
        <v>90</v>
      </c>
      <c r="F20" s="17" t="inlineStr">
        <is>
          <t>https://www.youtube.com/watch?v=OgR00HBMKFs</t>
        </is>
      </c>
      <c r="G20" s="15" t="inlineStr">
        <is>
          <t>ready</t>
        </is>
      </c>
      <c r="H20" s="15" t="inlineStr">
        <is>
          <t>O</t>
        </is>
      </c>
    </row>
    <row r="21">
      <c r="A21" s="15" t="n">
        <v>18</v>
      </c>
      <c r="B21" s="16" t="inlineStr">
        <is>
          <t>c5dmr5AQat0</t>
        </is>
      </c>
      <c r="C21" s="16" t="inlineStr">
        <is>
          <t>오백만 원짜리 마약찜닭 레시피 쇼츠 버전입니다. #Shorts</t>
        </is>
      </c>
      <c r="D21" s="16" t="inlineStr">
        <is>
          <t>@1mincook</t>
        </is>
      </c>
      <c r="E21" s="15" t="n">
        <v>59.4</v>
      </c>
      <c r="F21" s="17" t="inlineStr">
        <is>
          <t>https://www.youtube.com/watch?v=c5dmr5AQat0</t>
        </is>
      </c>
      <c r="G21" s="15" t="inlineStr">
        <is>
          <t>ready</t>
        </is>
      </c>
      <c r="H21" s="15" t="inlineStr">
        <is>
          <t>O</t>
        </is>
      </c>
    </row>
    <row r="22">
      <c r="A22" s="15" t="n"/>
      <c r="B22" s="16" t="n"/>
      <c r="C22" s="16" t="n"/>
      <c r="D22" s="16" t="n"/>
      <c r="E22" s="15" t="n"/>
      <c r="F22" s="16" t="n"/>
      <c r="G22" s="15" t="n"/>
      <c r="H22" s="15" t="n"/>
    </row>
    <row r="23">
      <c r="A23" s="15" t="n"/>
      <c r="B23" s="16" t="n"/>
      <c r="C23" s="16" t="n"/>
      <c r="D23" s="16" t="n"/>
      <c r="E23" s="15" t="n"/>
      <c r="F23" s="16" t="n"/>
      <c r="G23" s="15" t="n"/>
      <c r="H23" s="15" t="n"/>
    </row>
    <row r="24">
      <c r="A24" s="15" t="n"/>
      <c r="B24" s="16" t="n"/>
      <c r="C24" s="16" t="n"/>
      <c r="D24" s="16" t="n"/>
      <c r="E24" s="15" t="n"/>
      <c r="F24" s="16" t="n"/>
      <c r="G24" s="15" t="n"/>
      <c r="H24" s="15" t="n"/>
    </row>
    <row r="25">
      <c r="A25" s="15" t="n"/>
      <c r="B25" s="16" t="n"/>
      <c r="C25" s="16" t="n"/>
      <c r="D25" s="16" t="n"/>
      <c r="E25" s="15" t="n"/>
      <c r="F25" s="16" t="n"/>
      <c r="G25" s="15" t="n"/>
      <c r="H25" s="15" t="n"/>
    </row>
    <row r="26">
      <c r="A26" s="15" t="n"/>
      <c r="B26" s="16" t="n"/>
      <c r="C26" s="16" t="n"/>
      <c r="D26" s="16" t="n"/>
      <c r="E26" s="15" t="n"/>
      <c r="F26" s="16" t="n"/>
      <c r="G26" s="15" t="n"/>
      <c r="H26" s="15" t="n"/>
    </row>
    <row r="27">
      <c r="A27" s="15" t="n"/>
      <c r="B27" s="16" t="n"/>
      <c r="C27" s="16" t="n"/>
      <c r="D27" s="16" t="n"/>
      <c r="E27" s="15" t="n"/>
      <c r="F27" s="16" t="n"/>
      <c r="G27" s="15" t="n"/>
      <c r="H27" s="15" t="n"/>
    </row>
    <row r="28">
      <c r="A28" s="15" t="n"/>
      <c r="B28" s="16" t="n"/>
      <c r="C28" s="16" t="n"/>
      <c r="D28" s="16" t="n"/>
      <c r="E28" s="15" t="n"/>
      <c r="F28" s="16" t="n"/>
      <c r="G28" s="15" t="n"/>
      <c r="H28" s="15" t="n"/>
    </row>
    <row r="29">
      <c r="A29" s="15" t="n"/>
      <c r="B29" s="16" t="n"/>
      <c r="C29" s="16" t="n"/>
      <c r="D29" s="16" t="n"/>
      <c r="E29" s="15" t="n"/>
      <c r="F29" s="16" t="n"/>
      <c r="G29" s="15" t="n"/>
      <c r="H29" s="15" t="n"/>
    </row>
    <row r="30">
      <c r="A30" s="15" t="n"/>
      <c r="B30" s="16" t="n"/>
      <c r="C30" s="16" t="n"/>
      <c r="D30" s="16" t="n"/>
      <c r="E30" s="15" t="n"/>
      <c r="F30" s="16" t="n"/>
      <c r="G30" s="15" t="n"/>
      <c r="H30" s="15" t="n"/>
    </row>
    <row r="31">
      <c r="A31" s="15" t="n"/>
      <c r="B31" s="16" t="n"/>
      <c r="C31" s="16" t="n"/>
      <c r="D31" s="16" t="n"/>
      <c r="E31" s="15" t="n"/>
      <c r="F31" s="16" t="n"/>
      <c r="G31" s="15" t="n"/>
      <c r="H31" s="15" t="n"/>
    </row>
    <row r="32">
      <c r="A32" s="15" t="n"/>
      <c r="B32" s="16" t="n"/>
      <c r="C32" s="16" t="n"/>
      <c r="D32" s="16" t="n"/>
      <c r="E32" s="15" t="n"/>
      <c r="F32" s="16" t="n"/>
      <c r="G32" s="15" t="n"/>
      <c r="H32" s="15" t="n"/>
    </row>
    <row r="33">
      <c r="A33" s="15" t="n"/>
      <c r="B33" s="16" t="n"/>
      <c r="C33" s="16" t="n"/>
      <c r="D33" s="16" t="n"/>
      <c r="E33" s="15" t="n"/>
      <c r="F33" s="16" t="n"/>
      <c r="G33" s="15" t="n"/>
      <c r="H33" s="15" t="n"/>
    </row>
    <row r="34">
      <c r="A34" s="15" t="n"/>
      <c r="B34" s="16" t="n"/>
      <c r="C34" s="16" t="n"/>
      <c r="D34" s="16" t="n"/>
      <c r="E34" s="15" t="n"/>
      <c r="F34" s="16" t="n"/>
      <c r="G34" s="15" t="n"/>
      <c r="H34" s="15" t="n"/>
    </row>
    <row r="35">
      <c r="A35" s="15" t="n"/>
      <c r="B35" s="16" t="n"/>
      <c r="C35" s="16" t="n"/>
      <c r="D35" s="16" t="n"/>
      <c r="E35" s="15" t="n"/>
      <c r="F35" s="16" t="n"/>
      <c r="G35" s="15" t="n"/>
      <c r="H35" s="15" t="n"/>
    </row>
    <row r="36">
      <c r="A36" s="15" t="n"/>
      <c r="B36" s="16" t="n"/>
      <c r="C36" s="16" t="n"/>
      <c r="D36" s="16" t="n"/>
      <c r="E36" s="15" t="n"/>
      <c r="F36" s="16" t="n"/>
      <c r="G36" s="15" t="n"/>
      <c r="H36" s="15" t="n"/>
    </row>
    <row r="37">
      <c r="A37" s="15" t="n"/>
      <c r="B37" s="16" t="n"/>
      <c r="C37" s="16" t="n"/>
      <c r="D37" s="16" t="n"/>
      <c r="E37" s="15" t="n"/>
      <c r="F37" s="16" t="n"/>
      <c r="G37" s="15" t="n"/>
      <c r="H37" s="15" t="n"/>
    </row>
    <row r="38">
      <c r="A38" s="15" t="n"/>
      <c r="B38" s="16" t="n"/>
      <c r="C38" s="16" t="n"/>
      <c r="D38" s="16" t="n"/>
      <c r="E38" s="15" t="n"/>
      <c r="F38" s="16" t="n"/>
      <c r="G38" s="15" t="n"/>
      <c r="H38" s="15" t="n"/>
    </row>
    <row r="39">
      <c r="A39" s="15" t="n"/>
      <c r="B39" s="16" t="n"/>
      <c r="C39" s="16" t="n"/>
      <c r="D39" s="16" t="n"/>
      <c r="E39" s="15" t="n"/>
      <c r="F39" s="16" t="n"/>
      <c r="G39" s="15" t="n"/>
      <c r="H39" s="15" t="n"/>
    </row>
    <row r="40">
      <c r="A40" s="15" t="n"/>
      <c r="B40" s="16" t="n"/>
      <c r="C40" s="16" t="n"/>
      <c r="D40" s="16" t="n"/>
      <c r="E40" s="15" t="n"/>
      <c r="F40" s="16" t="n"/>
      <c r="G40" s="15" t="n"/>
      <c r="H40" s="15" t="n"/>
    </row>
    <row r="41">
      <c r="A41" s="15" t="n"/>
      <c r="B41" s="16" t="n"/>
      <c r="C41" s="16" t="n"/>
      <c r="D41" s="16" t="n"/>
      <c r="E41" s="15" t="n"/>
      <c r="F41" s="16" t="n"/>
      <c r="G41" s="15" t="n"/>
      <c r="H41" s="15" t="n"/>
    </row>
    <row r="42">
      <c r="A42" s="15" t="n"/>
      <c r="B42" s="16" t="n"/>
      <c r="C42" s="16" t="n"/>
      <c r="D42" s="16" t="n"/>
      <c r="E42" s="15" t="n"/>
      <c r="F42" s="16" t="n"/>
      <c r="G42" s="15" t="n"/>
      <c r="H42" s="15" t="n"/>
    </row>
    <row r="43">
      <c r="A43" s="15" t="n"/>
      <c r="B43" s="16" t="n"/>
      <c r="C43" s="16" t="n"/>
      <c r="D43" s="16" t="n"/>
      <c r="E43" s="15" t="n"/>
      <c r="F43" s="16" t="n"/>
      <c r="G43" s="15" t="n"/>
      <c r="H43" s="15" t="n"/>
    </row>
    <row r="44">
      <c r="A44" s="15" t="n"/>
      <c r="B44" s="16" t="n"/>
      <c r="C44" s="16" t="n"/>
      <c r="D44" s="16" t="n"/>
      <c r="E44" s="15" t="n"/>
      <c r="F44" s="16" t="n"/>
      <c r="G44" s="15" t="n"/>
      <c r="H44" s="15" t="n"/>
    </row>
    <row r="45">
      <c r="A45" s="15" t="n"/>
      <c r="B45" s="16" t="n"/>
      <c r="C45" s="16" t="n"/>
      <c r="D45" s="16" t="n"/>
      <c r="E45" s="15" t="n"/>
      <c r="F45" s="16" t="n"/>
      <c r="G45" s="15" t="n"/>
      <c r="H45" s="15" t="n"/>
    </row>
    <row r="46">
      <c r="A46" s="15" t="n"/>
      <c r="B46" s="16" t="n"/>
      <c r="C46" s="16" t="n"/>
      <c r="D46" s="16" t="n"/>
      <c r="E46" s="15" t="n"/>
      <c r="F46" s="16" t="n"/>
      <c r="G46" s="15" t="n"/>
      <c r="H46" s="15" t="n"/>
    </row>
    <row r="47">
      <c r="A47" s="15" t="n"/>
      <c r="B47" s="16" t="n"/>
      <c r="C47" s="16" t="n"/>
      <c r="D47" s="16" t="n"/>
      <c r="E47" s="15" t="n"/>
      <c r="F47" s="16" t="n"/>
      <c r="G47" s="15" t="n"/>
      <c r="H47" s="15" t="n"/>
    </row>
    <row r="48">
      <c r="A48" s="15" t="n"/>
      <c r="B48" s="16" t="n"/>
      <c r="C48" s="16" t="n"/>
      <c r="D48" s="16" t="n"/>
      <c r="E48" s="15" t="n"/>
      <c r="F48" s="16" t="n"/>
      <c r="G48" s="15" t="n"/>
      <c r="H48" s="15" t="n"/>
    </row>
    <row r="49">
      <c r="A49" s="15" t="n"/>
      <c r="B49" s="16" t="n"/>
      <c r="C49" s="16" t="n"/>
      <c r="D49" s="16" t="n"/>
      <c r="E49" s="15" t="n"/>
      <c r="F49" s="16" t="n"/>
      <c r="G49" s="15" t="n"/>
      <c r="H49" s="15" t="n"/>
    </row>
    <row r="50">
      <c r="A50" s="15" t="n"/>
      <c r="B50" s="16" t="n"/>
      <c r="C50" s="16" t="n"/>
      <c r="D50" s="16" t="n"/>
      <c r="E50" s="15" t="n"/>
      <c r="F50" s="16" t="n"/>
      <c r="G50" s="15" t="n"/>
      <c r="H50" s="15" t="n"/>
    </row>
    <row r="51">
      <c r="A51" s="15" t="n"/>
      <c r="B51" s="16" t="n"/>
      <c r="C51" s="16" t="n"/>
      <c r="D51" s="16" t="n"/>
      <c r="E51" s="15" t="n"/>
      <c r="F51" s="16" t="n"/>
      <c r="G51" s="15" t="n"/>
      <c r="H51" s="15" t="n"/>
    </row>
    <row r="53" ht="26" customHeight="1">
      <c r="A53" s="18" t="inlineStr">
        <is>
          <t>· '질문 대상' 칸에 O 를 적은 영상에만 질문을 만듭니다. 저장 영상 25개 중 12~15개만 O 로 두고, 나머지는 검색 난이도를 유지하는 오답 후보로 남겨둡니다.</t>
        </is>
      </c>
    </row>
    <row r="54" ht="26" customHeight="1">
      <c r="A54" s="18" t="inlineStr">
        <is>
          <t>· 상태가 ready 가 아닌 영상은 분석이 끝나지 않은 것입니다. 질문 대상에서 제외하세요.</t>
        </is>
      </c>
    </row>
  </sheetData>
  <mergeCells count="4">
    <mergeCell ref="A2:H2"/>
    <mergeCell ref="A53:H53"/>
    <mergeCell ref="A54:H54"/>
    <mergeCell ref="A1:H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4" customWidth="1" min="4" max="4"/>
  </cols>
  <sheetData>
    <row r="1" ht="24" customHeight="1">
      <c r="A1" s="1" t="inlineStr">
        <is>
          <t>진행 현황 · 자동 집계</t>
        </is>
      </c>
    </row>
    <row r="2">
      <c r="A2" s="2" t="inlineStr">
        <is>
          <t>[라벨링] 탭을 채우면 자동으로 갱신됩니다. 이 탭에는 직접 입력하지 마세요.</t>
        </is>
      </c>
    </row>
    <row r="3">
      <c r="A3" s="9" t="inlineStr">
        <is>
          <t>항목</t>
        </is>
      </c>
      <c r="B3" s="9" t="inlineStr">
        <is>
          <t>현재</t>
        </is>
      </c>
      <c r="C3" s="9" t="inlineStr">
        <is>
          <t>목표</t>
        </is>
      </c>
      <c r="D3" s="9" t="inlineStr">
        <is>
          <t>판정</t>
        </is>
      </c>
    </row>
    <row r="4">
      <c r="A4" s="16" t="inlineStr">
        <is>
          <t>입력된 라벨 줄 수</t>
        </is>
      </c>
      <c r="B4" s="10">
        <f>COUNTA(라벨링!$A$3:$A$2000)</f>
        <v/>
      </c>
      <c r="C4" s="19" t="inlineStr"/>
      <c r="D4" s="15" t="inlineStr"/>
    </row>
    <row r="5">
      <c r="A5" s="16" t="inlineStr">
        <is>
          <t>서로 다른 질문 수 (qid 기준)</t>
        </is>
      </c>
      <c r="B5" s="10">
        <f>IFERROR(SUMPRODUCT((라벨링!$A$3:$A$2000&lt;&gt;"")/COUNTIF(라벨링!$A$3:$A$2000,라벨링!$A$3:$A$2000&amp;"")),0)</f>
        <v/>
      </c>
      <c r="C5" s="19" t="inlineStr">
        <is>
          <t>45 ~ 55</t>
        </is>
      </c>
      <c r="D5" s="15">
        <f>IF(IFERROR(SUMPRODUCT((라벨링!$A$3:$A$2000&lt;&gt;"")/COUNTIF(라벨링!$A$3:$A$2000,라벨링!$A$3:$A$2000&amp;"")),0)&gt;=45,"충분","더 필요")</f>
        <v/>
      </c>
    </row>
    <row r="6">
      <c r="A6" s="16" t="inlineStr">
        <is>
          <t>라벨러 수</t>
        </is>
      </c>
      <c r="B6" s="10">
        <f>IFERROR(SUMPRODUCT((라벨링!$H$3:$H$2000&lt;&gt;"")/COUNTIF(라벨링!$H$3:$H$2000,라벨링!$H$3:$H$2000&amp;"")),0)</f>
        <v/>
      </c>
      <c r="C6" s="19" t="inlineStr">
        <is>
          <t>2</t>
        </is>
      </c>
      <c r="D6" s="15">
        <f>IF(IFERROR(SUMPRODUCT((라벨링!$H$3:$H$2000&lt;&gt;"")/COUNTIF(라벨링!$H$3:$H$2000,라벨링!$H$3:$H$2000&amp;"")),0)&gt;=2,"충분","더 필요")</f>
        <v/>
      </c>
    </row>
    <row r="7" ht="20" customHeight="1">
      <c r="A7" s="20" t="inlineStr">
        <is>
          <t>유형별 2점(정확) 라벨 수 — 비슷하게 맞추세요</t>
        </is>
      </c>
    </row>
    <row r="8">
      <c r="A8" s="16" t="inlineStr">
        <is>
          <t>재료분량</t>
        </is>
      </c>
      <c r="B8" s="10">
        <f>COUNTIFS(라벨링!$D$3:$D$2000,"재료분량",라벨링!$G$3:$G$2000,2)</f>
        <v/>
      </c>
      <c r="C8" s="19" t="inlineStr"/>
      <c r="D8" s="15" t="inlineStr"/>
    </row>
    <row r="9">
      <c r="A9" s="16" t="inlineStr">
        <is>
          <t>순서타이밍</t>
        </is>
      </c>
      <c r="B9" s="10">
        <f>COUNTIFS(라벨링!$D$3:$D$2000,"순서타이밍",라벨링!$G$3:$G$2000,2)</f>
        <v/>
      </c>
      <c r="C9" s="19" t="inlineStr"/>
      <c r="D9" s="15" t="inlineStr"/>
    </row>
    <row r="10">
      <c r="A10" s="16" t="inlineStr">
        <is>
          <t>시각적상태</t>
        </is>
      </c>
      <c r="B10" s="10">
        <f>COUNTIFS(라벨링!$D$3:$D$2000,"시각적상태",라벨링!$G$3:$G$2000,2)</f>
        <v/>
      </c>
      <c r="C10" s="19" t="inlineStr"/>
      <c r="D10" s="15" t="inlineStr"/>
    </row>
    <row r="11">
      <c r="A11" s="16" t="inlineStr">
        <is>
          <t>유형 간 최대 격차</t>
        </is>
      </c>
      <c r="B11" s="10">
        <f>MAX(B8:B10)-MIN(B8:B10)</f>
        <v/>
      </c>
      <c r="C11" s="19" t="inlineStr">
        <is>
          <t>5 이하</t>
        </is>
      </c>
      <c r="D11" s="15">
        <f>IF(MAX(B8:B10)-MIN(B8:B10)&lt;=5,"균형","치우침")</f>
        <v/>
      </c>
    </row>
    <row r="12" ht="20" customHeight="1">
      <c r="A12" s="20" t="inlineStr">
        <is>
          <t>검증 항목</t>
        </is>
      </c>
    </row>
    <row r="13">
      <c r="A13" s="16" t="inlineStr">
        <is>
          <t>'없음' 으로 표시한 질문 수</t>
        </is>
      </c>
      <c r="B13" s="10">
        <f>COUNTIF(라벨링!$G$3:$G$2000,"없음")</f>
        <v/>
      </c>
      <c r="C13" s="19" t="inlineStr">
        <is>
          <t>5 ~ 8</t>
        </is>
      </c>
      <c r="D13" s="15">
        <f>IF(COUNTIF(라벨링!$G$3:$G$2000,"없음")&gt;=5,"충분","더 필요")</f>
        <v/>
      </c>
    </row>
    <row r="14">
      <c r="A14" s="16" t="inlineStr">
        <is>
          <t>2점(정확) 라벨 총 수</t>
        </is>
      </c>
      <c r="B14" s="10">
        <f>COUNTIF(라벨링!$G$3:$G$2000,2)</f>
        <v/>
      </c>
      <c r="C14" s="19" t="inlineStr"/>
      <c r="D14" s="15" t="inlineStr"/>
    </row>
    <row r="15">
      <c r="A15" s="16" t="inlineStr">
        <is>
          <t>1점(관련) 라벨 총 수</t>
        </is>
      </c>
      <c r="B15" s="10">
        <f>COUNTIF(라벨링!$G$3:$G$2000,1)</f>
        <v/>
      </c>
      <c r="C15" s="19" t="inlineStr"/>
      <c r="D15" s="15" t="inlineStr"/>
    </row>
    <row r="17" ht="26" customHeight="1">
      <c r="A17" s="18" t="inlineStr">
        <is>
          <t>※ '유형 간 최대 격차' 는 세 유형의 2점 라벨 수 중 최대-최소 차이입니다. 한 유형만 많으면 유형별 성능 비교가 흔들립니다.</t>
        </is>
      </c>
    </row>
    <row r="18" ht="26" customHeight="1">
      <c r="A18" s="18" t="inlineStr">
        <is>
          <t>※ 목표 숫자는 영상 12~15개 × 질문 3~4개 기준입니다. 규모를 바꾸면 목표도 함께 조정하세요.</t>
        </is>
      </c>
    </row>
  </sheetData>
  <mergeCells count="6">
    <mergeCell ref="A1:D1"/>
    <mergeCell ref="A17:D17"/>
    <mergeCell ref="A18:D18"/>
    <mergeCell ref="A12:D12"/>
    <mergeCell ref="A7:D7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2026-10-10T04:08:44Z</dcterms:created>
  <dcterms:modified xmlns:dcterms="http://purl.org/dc/terms/" xmlns:xsi="http://www.w3.org/2001/XMLSchema-instance" xsi:type="dcterms:W3CDTF">2026-10-10T04:08:44Z</dcterms:modified>
</cp:coreProperties>
</file>