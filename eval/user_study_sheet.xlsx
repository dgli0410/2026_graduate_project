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행방법" sheetId="1" state="visible" r:id="rId1"/>
    <sheet xmlns:r="http://schemas.openxmlformats.org/officeDocument/2006/relationships" name="과제" sheetId="2" state="visible" r:id="rId2"/>
    <sheet xmlns:r="http://schemas.openxmlformats.org/officeDocument/2006/relationships" name="기록" sheetId="3" state="visible" r:id="rId3"/>
    <sheet xmlns:r="http://schemas.openxmlformats.org/officeDocument/2006/relationships" name="집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A1" s="1" t="inlineStr"/>
      <c r="B1" s="2" t="inlineStr">
        <is>
          <t>사용자 평가 진행 방법 — 전체 설계는 docs/user-study.md</t>
        </is>
      </c>
    </row>
    <row r="2">
      <c r="A2" s="1" t="inlineStr"/>
      <c r="B2" s="3" t="inlineStr"/>
    </row>
    <row r="3">
      <c r="A3" s="1" t="inlineStr">
        <is>
          <t>1</t>
        </is>
      </c>
      <c r="B3" s="3" t="inlineStr">
        <is>
          <t>준비: 서버 켜기 / 과제 영상 6개가 보관함에 있는지 확인 / 스톱워치 / 이전 참가자 검색기록 지우기</t>
        </is>
      </c>
    </row>
    <row r="4">
      <c r="A4" s="1" t="inlineStr"/>
      <c r="B4" s="3" t="inlineStr"/>
    </row>
    <row r="5">
      <c r="A5" s="1" t="inlineStr">
        <is>
          <t>2</t>
        </is>
      </c>
      <c r="B5" s="3" t="inlineStr">
        <is>
          <t>[안내] 그대로 읽으세요. 진행자가 더 잘 설명해주면 그 참가자만 빨라집니다.</t>
        </is>
      </c>
    </row>
    <row r="6">
      <c r="A6" s="1" t="inlineStr"/>
      <c r="B6" s="3" t="inlineStr">
        <is>
          <t xml:space="preserve">  "요리 쇼츠에서 특정 장면을 찾는 과제를 6개 드립니다. 앞 3개와 뒤 3개는 찾는 방법이 다릅니다."</t>
        </is>
      </c>
    </row>
    <row r="7">
      <c r="A7" s="1" t="inlineStr"/>
      <c r="B7" s="3" t="inlineStr">
        <is>
          <t xml:space="preserve">  "시간을 재지만 빨리 하는 게 목표가 아닙니다. 평소 하시던 대로 하세요."</t>
        </is>
      </c>
    </row>
    <row r="8">
      <c r="A8" s="1" t="inlineStr"/>
      <c r="B8" s="3" t="inlineStr">
        <is>
          <t xml:space="preserve">  "한 과제에 3분이 넘으면 제가 중단시킵니다. 참가자분 잘못이 아니라 저희 시스템을 평가하는 것입니다."</t>
        </is>
      </c>
    </row>
    <row r="9">
      <c r="A9" s="1" t="inlineStr"/>
      <c r="B9" s="3" t="inlineStr">
        <is>
          <t xml:space="preserve">  "중간에 그만두고 싶으시면 언제든 말씀하세요."</t>
        </is>
      </c>
    </row>
    <row r="10">
      <c r="A10" s="1" t="inlineStr"/>
      <c r="B10" s="3" t="inlineStr"/>
    </row>
    <row r="11">
      <c r="A11" s="1" t="inlineStr">
        <is>
          <t>3</t>
        </is>
      </c>
      <c r="B11" s="3" t="inlineStr">
        <is>
          <t>[A 조건 = 직접 찾기] "이 영상입니다. 유튜브에서 직접 원하는 장면을 찾아 그 시점으로 이동해 주세요."</t>
        </is>
      </c>
    </row>
    <row r="12">
      <c r="A12" s="1" t="inlineStr"/>
      <c r="B12" s="3" t="inlineStr">
        <is>
          <t>[B 조건 = 우리 시스템] "이 검색창에 찾고 싶은 것을 평소 말하듯 입력하세요. 어떻게 입력할지는 알려드리지 않겠습니다."</t>
        </is>
      </c>
    </row>
    <row r="13">
      <c r="A13" s="1" t="inlineStr"/>
      <c r="B13" s="3" t="inlineStr"/>
    </row>
    <row r="14">
      <c r="A14" s="1" t="inlineStr">
        <is>
          <t>4</t>
        </is>
      </c>
      <c r="B14" s="3" t="inlineStr">
        <is>
          <t>과제마다: 목표 읽기 → "시작하겠습니다" 와 동시에 스톱워치 → 참가자가 "찾았어요" 하면 멈추고 도달 시점 기록</t>
        </is>
      </c>
    </row>
    <row r="15">
      <c r="A15" s="1" t="inlineStr"/>
      <c r="B15" s="3" t="inlineStr">
        <is>
          <t xml:space="preserve">  3분(180초)이 되면 "여기까지 하겠습니다" 하고 포기=예 로 기록</t>
        </is>
      </c>
    </row>
    <row r="16">
      <c r="A16" s="1" t="inlineStr"/>
      <c r="B16" s="3" t="inlineStr"/>
    </row>
    <row r="17">
      <c r="A17" s="1" t="inlineStr">
        <is>
          <t>5</t>
        </is>
      </c>
      <c r="B17" s="3" t="inlineStr">
        <is>
          <t>절대 하지 말 것</t>
        </is>
      </c>
    </row>
    <row r="18">
      <c r="A18" s="1" t="inlineStr"/>
      <c r="B18" s="3" t="inlineStr">
        <is>
          <t xml:space="preserve">  · 검색어 힌트 주기 ("'간장'이라고 쳐보세요")</t>
        </is>
      </c>
    </row>
    <row r="19">
      <c r="A19" s="1" t="inlineStr"/>
      <c r="B19" s="3" t="inlineStr">
        <is>
          <t xml:space="preserve">  · 성공/실패 알려주기  · "거의 다 왔어요" 같은 반응  · 헤맬 때 거들기</t>
        </is>
      </c>
    </row>
    <row r="20">
      <c r="A20" s="1" t="inlineStr"/>
      <c r="B20" s="3" t="inlineStr"/>
    </row>
    <row r="21">
      <c r="A21" s="1" t="inlineStr">
        <is>
          <t>6</t>
        </is>
      </c>
      <c r="B21" s="3" t="inlineStr">
        <is>
          <t>끝나고(선택): "쓰시면서 불편했던 점 한 가지만 말씀해 주세요" — 한 줄만 받아 적고 점수화하지 않습니다</t>
        </is>
      </c>
    </row>
    <row r="22">
      <c r="A22" s="1" t="inlineStr"/>
      <c r="B22" s="3" t="inlineStr"/>
    </row>
    <row r="23">
      <c r="A23" s="1" t="inlineStr"/>
      <c r="B23" s="3" t="inlineStr">
        <is>
          <t>※ 성공 판정은 [기록] 탭이 수식으로 합니다. 도달 시점만 적으면 됩니다.</t>
        </is>
      </c>
    </row>
    <row r="24">
      <c r="A24" s="1" t="inlineStr"/>
      <c r="B24" s="3" t="inlineStr">
        <is>
          <t>※ 판정 기준: 정답시작 - 5초 ~ 정답시작 + 2초 (평가 스크립트와 같은 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30" customWidth="1" min="4" max="4"/>
    <col width="12" customWidth="1" min="5" max="5"/>
    <col width="46" customWidth="1" min="6" max="6"/>
    <col width="9" customWidth="1" min="7" max="7"/>
    <col width="9" customWidth="1" min="8" max="8"/>
    <col width="16" customWidth="1" min="9" max="9"/>
  </cols>
  <sheetData>
    <row r="1">
      <c r="A1" s="4" t="inlineStr">
        <is>
          <t>세트</t>
        </is>
      </c>
      <c r="B1" s="4" t="inlineStr">
        <is>
          <t>과제</t>
        </is>
      </c>
      <c r="C1" s="4" t="inlineStr">
        <is>
          <t>video_id</t>
        </is>
      </c>
      <c r="D1" s="4" t="inlineStr">
        <is>
          <t>영상 제목</t>
        </is>
      </c>
      <c r="E1" s="4" t="inlineStr">
        <is>
          <t>유형</t>
        </is>
      </c>
      <c r="F1" s="4" t="inlineStr">
        <is>
          <t>참가자에게 읽어줄 목표</t>
        </is>
      </c>
      <c r="G1" s="4" t="inlineStr">
        <is>
          <t>정답시작</t>
        </is>
      </c>
      <c r="H1" s="4" t="inlineStr">
        <is>
          <t>정답끝</t>
        </is>
      </c>
      <c r="I1" s="4" t="inlineStr">
        <is>
          <t>성공 인정 범위</t>
        </is>
      </c>
    </row>
    <row r="2">
      <c r="A2" t="n">
        <v>1</v>
      </c>
      <c r="B2" t="inlineStr">
        <is>
          <t>T1</t>
        </is>
      </c>
      <c r="C2" t="inlineStr">
        <is>
          <t>4due-wU9NFk</t>
        </is>
      </c>
      <c r="D2" t="inlineStr">
        <is>
          <t>삼겹살에 된장 넣었더니…🔥 밥도둑이 됐어요!</t>
        </is>
      </c>
      <c r="E2" t="inlineStr">
        <is>
          <t>재료·분량</t>
        </is>
      </c>
      <c r="F2" s="3" t="inlineStr">
        <is>
          <t>이 영상에서 물을 얼마나 넣는지 알려주는 장면으로 이동하세요.</t>
        </is>
      </c>
      <c r="G2" t="n">
        <v>35</v>
      </c>
      <c r="H2" t="n">
        <v>41</v>
      </c>
      <c r="I2" t="inlineStr">
        <is>
          <t>30.0 ~ 37.0 초</t>
        </is>
      </c>
    </row>
    <row r="3">
      <c r="A3" t="n">
        <v>1</v>
      </c>
      <c r="B3" t="inlineStr">
        <is>
          <t>T2</t>
        </is>
      </c>
      <c r="C3" t="inlineStr">
        <is>
          <t>OgR00HBMKFs</t>
        </is>
      </c>
      <c r="D3" t="inlineStr">
        <is>
          <t>와이프 친구들이 먹고 제발 팔아달라는 김치찜!</t>
        </is>
      </c>
      <c r="E3" t="inlineStr">
        <is>
          <t>순서·타이밍</t>
        </is>
      </c>
      <c r="F3" s="3" t="inlineStr">
        <is>
          <t>두부를 조리하는 장면으로 이동하세요.</t>
        </is>
      </c>
      <c r="G3" t="n">
        <v>22</v>
      </c>
      <c r="H3" t="n">
        <v>33</v>
      </c>
      <c r="I3" t="inlineStr">
        <is>
          <t>17.0 ~ 24.0 초</t>
        </is>
      </c>
    </row>
    <row r="4">
      <c r="A4" t="n">
        <v>1</v>
      </c>
      <c r="B4" t="inlineStr">
        <is>
          <t>T3</t>
        </is>
      </c>
      <c r="C4" t="inlineStr">
        <is>
          <t>Zlo2JQzihwc</t>
        </is>
      </c>
      <c r="D4" t="inlineStr">
        <is>
          <t>성시경이 감탄한 1등 레시피 미친 조합! #성시경 #라면레시피 #쇼츠</t>
        </is>
      </c>
      <c r="E4" t="inlineStr">
        <is>
          <t>시각적 상태</t>
        </is>
      </c>
      <c r="F4" s="3" t="inlineStr">
        <is>
          <t>익힌 면을 건져 넣는 장면으로 이동하세요.</t>
        </is>
      </c>
      <c r="G4" t="n">
        <v>39.1</v>
      </c>
      <c r="H4" t="n">
        <v>43</v>
      </c>
      <c r="I4" t="inlineStr">
        <is>
          <t>34.1 ~ 41.1 초</t>
        </is>
      </c>
    </row>
    <row r="5">
      <c r="A5" t="n">
        <v>2</v>
      </c>
      <c r="B5" t="inlineStr">
        <is>
          <t>T4</t>
        </is>
      </c>
      <c r="C5" t="inlineStr">
        <is>
          <t>Z7z0wW62obE</t>
        </is>
      </c>
      <c r="D5" t="inlineStr">
        <is>
          <t>일본 남자들의 소울푸드</t>
        </is>
      </c>
      <c r="E5" t="inlineStr">
        <is>
          <t>재료·분량</t>
        </is>
      </c>
      <c r="F5" s="3" t="inlineStr">
        <is>
          <t>고기를 얼마나 쓰는지 알려주는 장면으로 이동하세요.</t>
        </is>
      </c>
      <c r="G5" t="n">
        <v>15</v>
      </c>
      <c r="H5" t="n">
        <v>18</v>
      </c>
      <c r="I5" t="inlineStr">
        <is>
          <t>10.0 ~ 17.0 초</t>
        </is>
      </c>
    </row>
    <row r="6">
      <c r="A6" t="n">
        <v>2</v>
      </c>
      <c r="B6" t="inlineStr">
        <is>
          <t>T5</t>
        </is>
      </c>
      <c r="C6" t="inlineStr">
        <is>
          <t>iDMyw61V1XM</t>
        </is>
      </c>
      <c r="D6" t="inlineStr">
        <is>
          <t>지코바는 사 먹지 마세요!</t>
        </is>
      </c>
      <c r="E6" t="inlineStr">
        <is>
          <t>순서·타이밍</t>
        </is>
      </c>
      <c r="F6" s="3" t="inlineStr">
        <is>
          <t>떡을 넣는 순간으로 이동하세요.</t>
        </is>
      </c>
      <c r="G6" t="n">
        <v>31</v>
      </c>
      <c r="H6" t="n">
        <v>34</v>
      </c>
      <c r="I6" t="inlineStr">
        <is>
          <t>26.0 ~ 33.0 초</t>
        </is>
      </c>
    </row>
    <row r="7">
      <c r="A7" t="n">
        <v>2</v>
      </c>
      <c r="B7" t="inlineStr">
        <is>
          <t>T6</t>
        </is>
      </c>
      <c r="C7" t="inlineStr">
        <is>
          <t>rfkc9X4BItc</t>
        </is>
      </c>
      <c r="D7" t="inlineStr">
        <is>
          <t>입맛 없을 때 무조건 해보세요! 오징어 초무침 황금 레시피 #간단요리 #반찬만들기 #오징어</t>
        </is>
      </c>
      <c r="E7" t="inlineStr">
        <is>
          <t>시각적 상태</t>
        </is>
      </c>
      <c r="F7" s="3" t="inlineStr">
        <is>
          <t>무를 어느 정도 크기로 써는지 보이는 장면으로 이동하세요.</t>
        </is>
      </c>
      <c r="G7" t="n">
        <v>22</v>
      </c>
      <c r="H7" t="n">
        <v>24</v>
      </c>
      <c r="I7" t="inlineStr">
        <is>
          <t>17.0 ~ 24.0 초</t>
        </is>
      </c>
    </row>
    <row r="9">
      <c r="A9" s="5" t="inlineStr">
        <is>
          <t>⚠ 이 탭은 진행자만 봅니다. 참가자에게 보여주지 마세요.</t>
        </is>
      </c>
    </row>
    <row r="10">
      <c r="A10" t="inlineStr">
        <is>
          <t>정답 구간은 eval/labels_merged.csv 에서 가져왔습니다 — 자동 평가와 같은 기준입니다.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12" customWidth="1" min="3" max="3"/>
    <col width="6" customWidth="1" min="4" max="4"/>
    <col width="7" customWidth="1" min="5" max="5"/>
    <col width="12" customWidth="1" min="6" max="6"/>
    <col width="26" customWidth="1" min="7" max="7"/>
    <col width="28" customWidth="1" min="8" max="8"/>
    <col width="13" customWidth="1" min="9" max="9"/>
    <col width="13" customWidth="1" min="10" max="10"/>
    <col width="9" customWidth="1" min="11" max="11"/>
    <col width="7" customWidth="1" min="12" max="12"/>
    <col width="7" customWidth="1" min="13" max="13"/>
    <col width="30" customWidth="1" min="14" max="14"/>
  </cols>
  <sheetData>
    <row r="1">
      <c r="A1" s="4" t="inlineStr">
        <is>
          <t>참가자</t>
        </is>
      </c>
      <c r="B1" s="4" t="inlineStr">
        <is>
          <t>순서</t>
        </is>
      </c>
      <c r="C1" s="4" t="inlineStr">
        <is>
          <t>조건</t>
        </is>
      </c>
      <c r="D1" s="4" t="inlineStr">
        <is>
          <t>세트</t>
        </is>
      </c>
      <c r="E1" s="4" t="inlineStr">
        <is>
          <t>과제</t>
        </is>
      </c>
      <c r="F1" s="4" t="inlineStr">
        <is>
          <t>유형</t>
        </is>
      </c>
      <c r="G1" s="4" t="inlineStr">
        <is>
          <t>영상 제목</t>
        </is>
      </c>
      <c r="H1" s="4" t="inlineStr">
        <is>
          <t>첫 질의문</t>
        </is>
      </c>
      <c r="I1" s="4" t="inlineStr">
        <is>
          <t>도달시점(초)</t>
        </is>
      </c>
      <c r="J1" s="4" t="inlineStr">
        <is>
          <t>소요시간(초)</t>
        </is>
      </c>
      <c r="K1" s="4" t="inlineStr">
        <is>
          <t>시도횟수</t>
        </is>
      </c>
      <c r="L1" s="4" t="inlineStr">
        <is>
          <t>포기</t>
        </is>
      </c>
      <c r="M1" s="4" t="inlineStr">
        <is>
          <t>성공</t>
        </is>
      </c>
      <c r="N1" s="4" t="inlineStr">
        <is>
          <t>메모</t>
        </is>
      </c>
    </row>
    <row r="2">
      <c r="A2" t="inlineStr">
        <is>
          <t>P01</t>
        </is>
      </c>
      <c r="B2" t="n">
        <v>1</v>
      </c>
      <c r="C2" t="inlineStr">
        <is>
          <t>A 직접찾기</t>
        </is>
      </c>
      <c r="D2" t="n">
        <v>1</v>
      </c>
      <c r="E2" t="inlineStr">
        <is>
          <t>T1</t>
        </is>
      </c>
      <c r="F2" t="inlineStr">
        <is>
          <t>재료·분량</t>
        </is>
      </c>
      <c r="G2" s="6">
        <f>VLOOKUP(E2,과제!$B:$D,3,FALSE)</f>
        <v/>
      </c>
      <c r="M2" s="6">
        <f>IF(L2="예","X",IF(I2="","",IF(AND(I2&gt;=VLOOKUP(E2,과제!$B:$G,6,FALSE)-5.0,I2&lt;=VLOOKUP(E2,과제!$B:$G,6,FALSE)+2.0),"O","X")))</f>
        <v/>
      </c>
    </row>
    <row r="3">
      <c r="A3" t="inlineStr">
        <is>
          <t>P01</t>
        </is>
      </c>
      <c r="B3" t="n">
        <v>2</v>
      </c>
      <c r="C3" t="inlineStr">
        <is>
          <t>A 직접찾기</t>
        </is>
      </c>
      <c r="D3" t="n">
        <v>1</v>
      </c>
      <c r="E3" t="inlineStr">
        <is>
          <t>T2</t>
        </is>
      </c>
      <c r="F3" t="inlineStr">
        <is>
          <t>순서·타이밍</t>
        </is>
      </c>
      <c r="G3" s="6">
        <f>VLOOKUP(E3,과제!$B:$D,3,FALSE)</f>
        <v/>
      </c>
      <c r="M3" s="6">
        <f>IF(L3="예","X",IF(I3="","",IF(AND(I3&gt;=VLOOKUP(E3,과제!$B:$G,6,FALSE)-5.0,I3&lt;=VLOOKUP(E3,과제!$B:$G,6,FALSE)+2.0),"O","X")))</f>
        <v/>
      </c>
    </row>
    <row r="4">
      <c r="A4" t="inlineStr">
        <is>
          <t>P01</t>
        </is>
      </c>
      <c r="B4" t="n">
        <v>3</v>
      </c>
      <c r="C4" t="inlineStr">
        <is>
          <t>A 직접찾기</t>
        </is>
      </c>
      <c r="D4" t="n">
        <v>1</v>
      </c>
      <c r="E4" t="inlineStr">
        <is>
          <t>T3</t>
        </is>
      </c>
      <c r="F4" t="inlineStr">
        <is>
          <t>시각적 상태</t>
        </is>
      </c>
      <c r="G4" s="6">
        <f>VLOOKUP(E4,과제!$B:$D,3,FALSE)</f>
        <v/>
      </c>
      <c r="M4" s="6">
        <f>IF(L4="예","X",IF(I4="","",IF(AND(I4&gt;=VLOOKUP(E4,과제!$B:$G,6,FALSE)-5.0,I4&lt;=VLOOKUP(E4,과제!$B:$G,6,FALSE)+2.0),"O","X")))</f>
        <v/>
      </c>
    </row>
    <row r="5">
      <c r="A5" t="inlineStr">
        <is>
          <t>P01</t>
        </is>
      </c>
      <c r="B5" t="n">
        <v>4</v>
      </c>
      <c r="C5" t="inlineStr">
        <is>
          <t>B 시스템</t>
        </is>
      </c>
      <c r="D5" t="n">
        <v>2</v>
      </c>
      <c r="E5" t="inlineStr">
        <is>
          <t>T4</t>
        </is>
      </c>
      <c r="F5" t="inlineStr">
        <is>
          <t>재료·분량</t>
        </is>
      </c>
      <c r="G5" s="6">
        <f>VLOOKUP(E5,과제!$B:$D,3,FALSE)</f>
        <v/>
      </c>
      <c r="M5" s="6">
        <f>IF(L5="예","X",IF(I5="","",IF(AND(I5&gt;=VLOOKUP(E5,과제!$B:$G,6,FALSE)-5.0,I5&lt;=VLOOKUP(E5,과제!$B:$G,6,FALSE)+2.0),"O","X")))</f>
        <v/>
      </c>
    </row>
    <row r="6">
      <c r="A6" t="inlineStr">
        <is>
          <t>P01</t>
        </is>
      </c>
      <c r="B6" t="n">
        <v>5</v>
      </c>
      <c r="C6" t="inlineStr">
        <is>
          <t>B 시스템</t>
        </is>
      </c>
      <c r="D6" t="n">
        <v>2</v>
      </c>
      <c r="E6" t="inlineStr">
        <is>
          <t>T5</t>
        </is>
      </c>
      <c r="F6" t="inlineStr">
        <is>
          <t>순서·타이밍</t>
        </is>
      </c>
      <c r="G6" s="6">
        <f>VLOOKUP(E6,과제!$B:$D,3,FALSE)</f>
        <v/>
      </c>
      <c r="M6" s="6">
        <f>IF(L6="예","X",IF(I6="","",IF(AND(I6&gt;=VLOOKUP(E6,과제!$B:$G,6,FALSE)-5.0,I6&lt;=VLOOKUP(E6,과제!$B:$G,6,FALSE)+2.0),"O","X")))</f>
        <v/>
      </c>
    </row>
    <row r="7">
      <c r="A7" t="inlineStr">
        <is>
          <t>P01</t>
        </is>
      </c>
      <c r="B7" t="n">
        <v>6</v>
      </c>
      <c r="C7" t="inlineStr">
        <is>
          <t>B 시스템</t>
        </is>
      </c>
      <c r="D7" t="n">
        <v>2</v>
      </c>
      <c r="E7" t="inlineStr">
        <is>
          <t>T6</t>
        </is>
      </c>
      <c r="F7" t="inlineStr">
        <is>
          <t>시각적 상태</t>
        </is>
      </c>
      <c r="G7" s="6">
        <f>VLOOKUP(E7,과제!$B:$D,3,FALSE)</f>
        <v/>
      </c>
      <c r="M7" s="6">
        <f>IF(L7="예","X",IF(I7="","",IF(AND(I7&gt;=VLOOKUP(E7,과제!$B:$G,6,FALSE)-5.0,I7&lt;=VLOOKUP(E7,과제!$B:$G,6,FALSE)+2.0),"O","X")))</f>
        <v/>
      </c>
    </row>
    <row r="8">
      <c r="A8" t="inlineStr">
        <is>
          <t>P02</t>
        </is>
      </c>
      <c r="B8" t="n">
        <v>1</v>
      </c>
      <c r="C8" t="inlineStr">
        <is>
          <t>B 시스템</t>
        </is>
      </c>
      <c r="D8" t="n">
        <v>1</v>
      </c>
      <c r="E8" t="inlineStr">
        <is>
          <t>T1</t>
        </is>
      </c>
      <c r="F8" t="inlineStr">
        <is>
          <t>재료·분량</t>
        </is>
      </c>
      <c r="G8" s="6">
        <f>VLOOKUP(E8,과제!$B:$D,3,FALSE)</f>
        <v/>
      </c>
      <c r="M8" s="6">
        <f>IF(L8="예","X",IF(I8="","",IF(AND(I8&gt;=VLOOKUP(E8,과제!$B:$G,6,FALSE)-5.0,I8&lt;=VLOOKUP(E8,과제!$B:$G,6,FALSE)+2.0),"O","X")))</f>
        <v/>
      </c>
    </row>
    <row r="9">
      <c r="A9" t="inlineStr">
        <is>
          <t>P02</t>
        </is>
      </c>
      <c r="B9" t="n">
        <v>2</v>
      </c>
      <c r="C9" t="inlineStr">
        <is>
          <t>B 시스템</t>
        </is>
      </c>
      <c r="D9" t="n">
        <v>1</v>
      </c>
      <c r="E9" t="inlineStr">
        <is>
          <t>T2</t>
        </is>
      </c>
      <c r="F9" t="inlineStr">
        <is>
          <t>순서·타이밍</t>
        </is>
      </c>
      <c r="G9" s="6">
        <f>VLOOKUP(E9,과제!$B:$D,3,FALSE)</f>
        <v/>
      </c>
      <c r="M9" s="6">
        <f>IF(L9="예","X",IF(I9="","",IF(AND(I9&gt;=VLOOKUP(E9,과제!$B:$G,6,FALSE)-5.0,I9&lt;=VLOOKUP(E9,과제!$B:$G,6,FALSE)+2.0),"O","X")))</f>
        <v/>
      </c>
    </row>
    <row r="10">
      <c r="A10" t="inlineStr">
        <is>
          <t>P02</t>
        </is>
      </c>
      <c r="B10" t="n">
        <v>3</v>
      </c>
      <c r="C10" t="inlineStr">
        <is>
          <t>B 시스템</t>
        </is>
      </c>
      <c r="D10" t="n">
        <v>1</v>
      </c>
      <c r="E10" t="inlineStr">
        <is>
          <t>T3</t>
        </is>
      </c>
      <c r="F10" t="inlineStr">
        <is>
          <t>시각적 상태</t>
        </is>
      </c>
      <c r="G10" s="6">
        <f>VLOOKUP(E10,과제!$B:$D,3,FALSE)</f>
        <v/>
      </c>
      <c r="M10" s="6">
        <f>IF(L10="예","X",IF(I10="","",IF(AND(I10&gt;=VLOOKUP(E10,과제!$B:$G,6,FALSE)-5.0,I10&lt;=VLOOKUP(E10,과제!$B:$G,6,FALSE)+2.0),"O","X")))</f>
        <v/>
      </c>
    </row>
    <row r="11">
      <c r="A11" t="inlineStr">
        <is>
          <t>P02</t>
        </is>
      </c>
      <c r="B11" t="n">
        <v>4</v>
      </c>
      <c r="C11" t="inlineStr">
        <is>
          <t>A 직접찾기</t>
        </is>
      </c>
      <c r="D11" t="n">
        <v>2</v>
      </c>
      <c r="E11" t="inlineStr">
        <is>
          <t>T4</t>
        </is>
      </c>
      <c r="F11" t="inlineStr">
        <is>
          <t>재료·분량</t>
        </is>
      </c>
      <c r="G11" s="6">
        <f>VLOOKUP(E11,과제!$B:$D,3,FALSE)</f>
        <v/>
      </c>
      <c r="M11" s="6">
        <f>IF(L11="예","X",IF(I11="","",IF(AND(I11&gt;=VLOOKUP(E11,과제!$B:$G,6,FALSE)-5.0,I11&lt;=VLOOKUP(E11,과제!$B:$G,6,FALSE)+2.0),"O","X")))</f>
        <v/>
      </c>
    </row>
    <row r="12">
      <c r="A12" t="inlineStr">
        <is>
          <t>P02</t>
        </is>
      </c>
      <c r="B12" t="n">
        <v>5</v>
      </c>
      <c r="C12" t="inlineStr">
        <is>
          <t>A 직접찾기</t>
        </is>
      </c>
      <c r="D12" t="n">
        <v>2</v>
      </c>
      <c r="E12" t="inlineStr">
        <is>
          <t>T5</t>
        </is>
      </c>
      <c r="F12" t="inlineStr">
        <is>
          <t>순서·타이밍</t>
        </is>
      </c>
      <c r="G12" s="6">
        <f>VLOOKUP(E12,과제!$B:$D,3,FALSE)</f>
        <v/>
      </c>
      <c r="M12" s="6">
        <f>IF(L12="예","X",IF(I12="","",IF(AND(I12&gt;=VLOOKUP(E12,과제!$B:$G,6,FALSE)-5.0,I12&lt;=VLOOKUP(E12,과제!$B:$G,6,FALSE)+2.0),"O","X")))</f>
        <v/>
      </c>
    </row>
    <row r="13">
      <c r="A13" t="inlineStr">
        <is>
          <t>P02</t>
        </is>
      </c>
      <c r="B13" t="n">
        <v>6</v>
      </c>
      <c r="C13" t="inlineStr">
        <is>
          <t>A 직접찾기</t>
        </is>
      </c>
      <c r="D13" t="n">
        <v>2</v>
      </c>
      <c r="E13" t="inlineStr">
        <is>
          <t>T6</t>
        </is>
      </c>
      <c r="F13" t="inlineStr">
        <is>
          <t>시각적 상태</t>
        </is>
      </c>
      <c r="G13" s="6">
        <f>VLOOKUP(E13,과제!$B:$D,3,FALSE)</f>
        <v/>
      </c>
      <c r="M13" s="6">
        <f>IF(L13="예","X",IF(I13="","",IF(AND(I13&gt;=VLOOKUP(E13,과제!$B:$G,6,FALSE)-5.0,I13&lt;=VLOOKUP(E13,과제!$B:$G,6,FALSE)+2.0),"O","X")))</f>
        <v/>
      </c>
    </row>
    <row r="14">
      <c r="A14" t="inlineStr">
        <is>
          <t>P03</t>
        </is>
      </c>
      <c r="B14" t="n">
        <v>1</v>
      </c>
      <c r="C14" t="inlineStr">
        <is>
          <t>A 직접찾기</t>
        </is>
      </c>
      <c r="D14" t="n">
        <v>2</v>
      </c>
      <c r="E14" t="inlineStr">
        <is>
          <t>T4</t>
        </is>
      </c>
      <c r="F14" t="inlineStr">
        <is>
          <t>재료·분량</t>
        </is>
      </c>
      <c r="G14" s="6">
        <f>VLOOKUP(E14,과제!$B:$D,3,FALSE)</f>
        <v/>
      </c>
      <c r="M14" s="6">
        <f>IF(L14="예","X",IF(I14="","",IF(AND(I14&gt;=VLOOKUP(E14,과제!$B:$G,6,FALSE)-5.0,I14&lt;=VLOOKUP(E14,과제!$B:$G,6,FALSE)+2.0),"O","X")))</f>
        <v/>
      </c>
    </row>
    <row r="15">
      <c r="A15" t="inlineStr">
        <is>
          <t>P03</t>
        </is>
      </c>
      <c r="B15" t="n">
        <v>2</v>
      </c>
      <c r="C15" t="inlineStr">
        <is>
          <t>A 직접찾기</t>
        </is>
      </c>
      <c r="D15" t="n">
        <v>2</v>
      </c>
      <c r="E15" t="inlineStr">
        <is>
          <t>T5</t>
        </is>
      </c>
      <c r="F15" t="inlineStr">
        <is>
          <t>순서·타이밍</t>
        </is>
      </c>
      <c r="G15" s="6">
        <f>VLOOKUP(E15,과제!$B:$D,3,FALSE)</f>
        <v/>
      </c>
      <c r="M15" s="6">
        <f>IF(L15="예","X",IF(I15="","",IF(AND(I15&gt;=VLOOKUP(E15,과제!$B:$G,6,FALSE)-5.0,I15&lt;=VLOOKUP(E15,과제!$B:$G,6,FALSE)+2.0),"O","X")))</f>
        <v/>
      </c>
    </row>
    <row r="16">
      <c r="A16" t="inlineStr">
        <is>
          <t>P03</t>
        </is>
      </c>
      <c r="B16" t="n">
        <v>3</v>
      </c>
      <c r="C16" t="inlineStr">
        <is>
          <t>A 직접찾기</t>
        </is>
      </c>
      <c r="D16" t="n">
        <v>2</v>
      </c>
      <c r="E16" t="inlineStr">
        <is>
          <t>T6</t>
        </is>
      </c>
      <c r="F16" t="inlineStr">
        <is>
          <t>시각적 상태</t>
        </is>
      </c>
      <c r="G16" s="6">
        <f>VLOOKUP(E16,과제!$B:$D,3,FALSE)</f>
        <v/>
      </c>
      <c r="M16" s="6">
        <f>IF(L16="예","X",IF(I16="","",IF(AND(I16&gt;=VLOOKUP(E16,과제!$B:$G,6,FALSE)-5.0,I16&lt;=VLOOKUP(E16,과제!$B:$G,6,FALSE)+2.0),"O","X")))</f>
        <v/>
      </c>
    </row>
    <row r="17">
      <c r="A17" t="inlineStr">
        <is>
          <t>P03</t>
        </is>
      </c>
      <c r="B17" t="n">
        <v>4</v>
      </c>
      <c r="C17" t="inlineStr">
        <is>
          <t>B 시스템</t>
        </is>
      </c>
      <c r="D17" t="n">
        <v>1</v>
      </c>
      <c r="E17" t="inlineStr">
        <is>
          <t>T1</t>
        </is>
      </c>
      <c r="F17" t="inlineStr">
        <is>
          <t>재료·분량</t>
        </is>
      </c>
      <c r="G17" s="6">
        <f>VLOOKUP(E17,과제!$B:$D,3,FALSE)</f>
        <v/>
      </c>
      <c r="M17" s="6">
        <f>IF(L17="예","X",IF(I17="","",IF(AND(I17&gt;=VLOOKUP(E17,과제!$B:$G,6,FALSE)-5.0,I17&lt;=VLOOKUP(E17,과제!$B:$G,6,FALSE)+2.0),"O","X")))</f>
        <v/>
      </c>
    </row>
    <row r="18">
      <c r="A18" t="inlineStr">
        <is>
          <t>P03</t>
        </is>
      </c>
      <c r="B18" t="n">
        <v>5</v>
      </c>
      <c r="C18" t="inlineStr">
        <is>
          <t>B 시스템</t>
        </is>
      </c>
      <c r="D18" t="n">
        <v>1</v>
      </c>
      <c r="E18" t="inlineStr">
        <is>
          <t>T2</t>
        </is>
      </c>
      <c r="F18" t="inlineStr">
        <is>
          <t>순서·타이밍</t>
        </is>
      </c>
      <c r="G18" s="6">
        <f>VLOOKUP(E18,과제!$B:$D,3,FALSE)</f>
        <v/>
      </c>
      <c r="M18" s="6">
        <f>IF(L18="예","X",IF(I18="","",IF(AND(I18&gt;=VLOOKUP(E18,과제!$B:$G,6,FALSE)-5.0,I18&lt;=VLOOKUP(E18,과제!$B:$G,6,FALSE)+2.0),"O","X")))</f>
        <v/>
      </c>
    </row>
    <row r="19">
      <c r="A19" t="inlineStr">
        <is>
          <t>P03</t>
        </is>
      </c>
      <c r="B19" t="n">
        <v>6</v>
      </c>
      <c r="C19" t="inlineStr">
        <is>
          <t>B 시스템</t>
        </is>
      </c>
      <c r="D19" t="n">
        <v>1</v>
      </c>
      <c r="E19" t="inlineStr">
        <is>
          <t>T3</t>
        </is>
      </c>
      <c r="F19" t="inlineStr">
        <is>
          <t>시각적 상태</t>
        </is>
      </c>
      <c r="G19" s="6">
        <f>VLOOKUP(E19,과제!$B:$D,3,FALSE)</f>
        <v/>
      </c>
      <c r="M19" s="6">
        <f>IF(L19="예","X",IF(I19="","",IF(AND(I19&gt;=VLOOKUP(E19,과제!$B:$G,6,FALSE)-5.0,I19&lt;=VLOOKUP(E19,과제!$B:$G,6,FALSE)+2.0),"O","X")))</f>
        <v/>
      </c>
    </row>
    <row r="20">
      <c r="A20" t="inlineStr">
        <is>
          <t>P04</t>
        </is>
      </c>
      <c r="B20" t="n">
        <v>1</v>
      </c>
      <c r="C20" t="inlineStr">
        <is>
          <t>B 시스템</t>
        </is>
      </c>
      <c r="D20" t="n">
        <v>2</v>
      </c>
      <c r="E20" t="inlineStr">
        <is>
          <t>T4</t>
        </is>
      </c>
      <c r="F20" t="inlineStr">
        <is>
          <t>재료·분량</t>
        </is>
      </c>
      <c r="G20" s="6">
        <f>VLOOKUP(E20,과제!$B:$D,3,FALSE)</f>
        <v/>
      </c>
      <c r="M20" s="6">
        <f>IF(L20="예","X",IF(I20="","",IF(AND(I20&gt;=VLOOKUP(E20,과제!$B:$G,6,FALSE)-5.0,I20&lt;=VLOOKUP(E20,과제!$B:$G,6,FALSE)+2.0),"O","X")))</f>
        <v/>
      </c>
    </row>
    <row r="21">
      <c r="A21" t="inlineStr">
        <is>
          <t>P04</t>
        </is>
      </c>
      <c r="B21" t="n">
        <v>2</v>
      </c>
      <c r="C21" t="inlineStr">
        <is>
          <t>B 시스템</t>
        </is>
      </c>
      <c r="D21" t="n">
        <v>2</v>
      </c>
      <c r="E21" t="inlineStr">
        <is>
          <t>T5</t>
        </is>
      </c>
      <c r="F21" t="inlineStr">
        <is>
          <t>순서·타이밍</t>
        </is>
      </c>
      <c r="G21" s="6">
        <f>VLOOKUP(E21,과제!$B:$D,3,FALSE)</f>
        <v/>
      </c>
      <c r="M21" s="6">
        <f>IF(L21="예","X",IF(I21="","",IF(AND(I21&gt;=VLOOKUP(E21,과제!$B:$G,6,FALSE)-5.0,I21&lt;=VLOOKUP(E21,과제!$B:$G,6,FALSE)+2.0),"O","X")))</f>
        <v/>
      </c>
    </row>
    <row r="22">
      <c r="A22" t="inlineStr">
        <is>
          <t>P04</t>
        </is>
      </c>
      <c r="B22" t="n">
        <v>3</v>
      </c>
      <c r="C22" t="inlineStr">
        <is>
          <t>B 시스템</t>
        </is>
      </c>
      <c r="D22" t="n">
        <v>2</v>
      </c>
      <c r="E22" t="inlineStr">
        <is>
          <t>T6</t>
        </is>
      </c>
      <c r="F22" t="inlineStr">
        <is>
          <t>시각적 상태</t>
        </is>
      </c>
      <c r="G22" s="6">
        <f>VLOOKUP(E22,과제!$B:$D,3,FALSE)</f>
        <v/>
      </c>
      <c r="M22" s="6">
        <f>IF(L22="예","X",IF(I22="","",IF(AND(I22&gt;=VLOOKUP(E22,과제!$B:$G,6,FALSE)-5.0,I22&lt;=VLOOKUP(E22,과제!$B:$G,6,FALSE)+2.0),"O","X")))</f>
        <v/>
      </c>
    </row>
    <row r="23">
      <c r="A23" t="inlineStr">
        <is>
          <t>P04</t>
        </is>
      </c>
      <c r="B23" t="n">
        <v>4</v>
      </c>
      <c r="C23" t="inlineStr">
        <is>
          <t>A 직접찾기</t>
        </is>
      </c>
      <c r="D23" t="n">
        <v>1</v>
      </c>
      <c r="E23" t="inlineStr">
        <is>
          <t>T1</t>
        </is>
      </c>
      <c r="F23" t="inlineStr">
        <is>
          <t>재료·분량</t>
        </is>
      </c>
      <c r="G23" s="6">
        <f>VLOOKUP(E23,과제!$B:$D,3,FALSE)</f>
        <v/>
      </c>
      <c r="M23" s="6">
        <f>IF(L23="예","X",IF(I23="","",IF(AND(I23&gt;=VLOOKUP(E23,과제!$B:$G,6,FALSE)-5.0,I23&lt;=VLOOKUP(E23,과제!$B:$G,6,FALSE)+2.0),"O","X")))</f>
        <v/>
      </c>
    </row>
    <row r="24">
      <c r="A24" t="inlineStr">
        <is>
          <t>P04</t>
        </is>
      </c>
      <c r="B24" t="n">
        <v>5</v>
      </c>
      <c r="C24" t="inlineStr">
        <is>
          <t>A 직접찾기</t>
        </is>
      </c>
      <c r="D24" t="n">
        <v>1</v>
      </c>
      <c r="E24" t="inlineStr">
        <is>
          <t>T2</t>
        </is>
      </c>
      <c r="F24" t="inlineStr">
        <is>
          <t>순서·타이밍</t>
        </is>
      </c>
      <c r="G24" s="6">
        <f>VLOOKUP(E24,과제!$B:$D,3,FALSE)</f>
        <v/>
      </c>
      <c r="M24" s="6">
        <f>IF(L24="예","X",IF(I24="","",IF(AND(I24&gt;=VLOOKUP(E24,과제!$B:$G,6,FALSE)-5.0,I24&lt;=VLOOKUP(E24,과제!$B:$G,6,FALSE)+2.0),"O","X")))</f>
        <v/>
      </c>
    </row>
    <row r="25">
      <c r="A25" t="inlineStr">
        <is>
          <t>P04</t>
        </is>
      </c>
      <c r="B25" t="n">
        <v>6</v>
      </c>
      <c r="C25" t="inlineStr">
        <is>
          <t>A 직접찾기</t>
        </is>
      </c>
      <c r="D25" t="n">
        <v>1</v>
      </c>
      <c r="E25" t="inlineStr">
        <is>
          <t>T3</t>
        </is>
      </c>
      <c r="F25" t="inlineStr">
        <is>
          <t>시각적 상태</t>
        </is>
      </c>
      <c r="G25" s="6">
        <f>VLOOKUP(E25,과제!$B:$D,3,FALSE)</f>
        <v/>
      </c>
      <c r="M25" s="6">
        <f>IF(L25="예","X",IF(I25="","",IF(AND(I25&gt;=VLOOKUP(E25,과제!$B:$G,6,FALSE)-5.0,I25&lt;=VLOOKUP(E25,과제!$B:$G,6,FALSE)+2.0),"O","X")))</f>
        <v/>
      </c>
    </row>
    <row r="26">
      <c r="A26" t="inlineStr">
        <is>
          <t>P05</t>
        </is>
      </c>
      <c r="B26" t="n">
        <v>1</v>
      </c>
      <c r="C26" t="inlineStr">
        <is>
          <t>A 직접찾기</t>
        </is>
      </c>
      <c r="D26" t="n">
        <v>1</v>
      </c>
      <c r="E26" t="inlineStr">
        <is>
          <t>T1</t>
        </is>
      </c>
      <c r="F26" t="inlineStr">
        <is>
          <t>재료·분량</t>
        </is>
      </c>
      <c r="G26" s="6">
        <f>VLOOKUP(E26,과제!$B:$D,3,FALSE)</f>
        <v/>
      </c>
      <c r="M26" s="6">
        <f>IF(L26="예","X",IF(I26="","",IF(AND(I26&gt;=VLOOKUP(E26,과제!$B:$G,6,FALSE)-5.0,I26&lt;=VLOOKUP(E26,과제!$B:$G,6,FALSE)+2.0),"O","X")))</f>
        <v/>
      </c>
    </row>
    <row r="27">
      <c r="A27" t="inlineStr">
        <is>
          <t>P05</t>
        </is>
      </c>
      <c r="B27" t="n">
        <v>2</v>
      </c>
      <c r="C27" t="inlineStr">
        <is>
          <t>A 직접찾기</t>
        </is>
      </c>
      <c r="D27" t="n">
        <v>1</v>
      </c>
      <c r="E27" t="inlineStr">
        <is>
          <t>T2</t>
        </is>
      </c>
      <c r="F27" t="inlineStr">
        <is>
          <t>순서·타이밍</t>
        </is>
      </c>
      <c r="G27" s="6">
        <f>VLOOKUP(E27,과제!$B:$D,3,FALSE)</f>
        <v/>
      </c>
      <c r="M27" s="6">
        <f>IF(L27="예","X",IF(I27="","",IF(AND(I27&gt;=VLOOKUP(E27,과제!$B:$G,6,FALSE)-5.0,I27&lt;=VLOOKUP(E27,과제!$B:$G,6,FALSE)+2.0),"O","X")))</f>
        <v/>
      </c>
    </row>
    <row r="28">
      <c r="A28" t="inlineStr">
        <is>
          <t>P05</t>
        </is>
      </c>
      <c r="B28" t="n">
        <v>3</v>
      </c>
      <c r="C28" t="inlineStr">
        <is>
          <t>A 직접찾기</t>
        </is>
      </c>
      <c r="D28" t="n">
        <v>1</v>
      </c>
      <c r="E28" t="inlineStr">
        <is>
          <t>T3</t>
        </is>
      </c>
      <c r="F28" t="inlineStr">
        <is>
          <t>시각적 상태</t>
        </is>
      </c>
      <c r="G28" s="6">
        <f>VLOOKUP(E28,과제!$B:$D,3,FALSE)</f>
        <v/>
      </c>
      <c r="M28" s="6">
        <f>IF(L28="예","X",IF(I28="","",IF(AND(I28&gt;=VLOOKUP(E28,과제!$B:$G,6,FALSE)-5.0,I28&lt;=VLOOKUP(E28,과제!$B:$G,6,FALSE)+2.0),"O","X")))</f>
        <v/>
      </c>
    </row>
    <row r="29">
      <c r="A29" t="inlineStr">
        <is>
          <t>P05</t>
        </is>
      </c>
      <c r="B29" t="n">
        <v>4</v>
      </c>
      <c r="C29" t="inlineStr">
        <is>
          <t>B 시스템</t>
        </is>
      </c>
      <c r="D29" t="n">
        <v>2</v>
      </c>
      <c r="E29" t="inlineStr">
        <is>
          <t>T4</t>
        </is>
      </c>
      <c r="F29" t="inlineStr">
        <is>
          <t>재료·분량</t>
        </is>
      </c>
      <c r="G29" s="6">
        <f>VLOOKUP(E29,과제!$B:$D,3,FALSE)</f>
        <v/>
      </c>
      <c r="M29" s="6">
        <f>IF(L29="예","X",IF(I29="","",IF(AND(I29&gt;=VLOOKUP(E29,과제!$B:$G,6,FALSE)-5.0,I29&lt;=VLOOKUP(E29,과제!$B:$G,6,FALSE)+2.0),"O","X")))</f>
        <v/>
      </c>
    </row>
    <row r="30">
      <c r="A30" t="inlineStr">
        <is>
          <t>P05</t>
        </is>
      </c>
      <c r="B30" t="n">
        <v>5</v>
      </c>
      <c r="C30" t="inlineStr">
        <is>
          <t>B 시스템</t>
        </is>
      </c>
      <c r="D30" t="n">
        <v>2</v>
      </c>
      <c r="E30" t="inlineStr">
        <is>
          <t>T5</t>
        </is>
      </c>
      <c r="F30" t="inlineStr">
        <is>
          <t>순서·타이밍</t>
        </is>
      </c>
      <c r="G30" s="6">
        <f>VLOOKUP(E30,과제!$B:$D,3,FALSE)</f>
        <v/>
      </c>
      <c r="M30" s="6">
        <f>IF(L30="예","X",IF(I30="","",IF(AND(I30&gt;=VLOOKUP(E30,과제!$B:$G,6,FALSE)-5.0,I30&lt;=VLOOKUP(E30,과제!$B:$G,6,FALSE)+2.0),"O","X")))</f>
        <v/>
      </c>
    </row>
    <row r="31">
      <c r="A31" t="inlineStr">
        <is>
          <t>P05</t>
        </is>
      </c>
      <c r="B31" t="n">
        <v>6</v>
      </c>
      <c r="C31" t="inlineStr">
        <is>
          <t>B 시스템</t>
        </is>
      </c>
      <c r="D31" t="n">
        <v>2</v>
      </c>
      <c r="E31" t="inlineStr">
        <is>
          <t>T6</t>
        </is>
      </c>
      <c r="F31" t="inlineStr">
        <is>
          <t>시각적 상태</t>
        </is>
      </c>
      <c r="G31" s="6">
        <f>VLOOKUP(E31,과제!$B:$D,3,FALSE)</f>
        <v/>
      </c>
      <c r="M31" s="6">
        <f>IF(L31="예","X",IF(I31="","",IF(AND(I31&gt;=VLOOKUP(E31,과제!$B:$G,6,FALSE)-5.0,I31&lt;=VLOOKUP(E31,과제!$B:$G,6,FALSE)+2.0),"O","X")))</f>
        <v/>
      </c>
    </row>
    <row r="32">
      <c r="A32" t="inlineStr">
        <is>
          <t>P06</t>
        </is>
      </c>
      <c r="B32" t="n">
        <v>1</v>
      </c>
      <c r="C32" t="inlineStr">
        <is>
          <t>B 시스템</t>
        </is>
      </c>
      <c r="D32" t="n">
        <v>1</v>
      </c>
      <c r="E32" t="inlineStr">
        <is>
          <t>T1</t>
        </is>
      </c>
      <c r="F32" t="inlineStr">
        <is>
          <t>재료·분량</t>
        </is>
      </c>
      <c r="G32" s="6">
        <f>VLOOKUP(E32,과제!$B:$D,3,FALSE)</f>
        <v/>
      </c>
      <c r="M32" s="6">
        <f>IF(L32="예","X",IF(I32="","",IF(AND(I32&gt;=VLOOKUP(E32,과제!$B:$G,6,FALSE)-5.0,I32&lt;=VLOOKUP(E32,과제!$B:$G,6,FALSE)+2.0),"O","X")))</f>
        <v/>
      </c>
    </row>
    <row r="33">
      <c r="A33" t="inlineStr">
        <is>
          <t>P06</t>
        </is>
      </c>
      <c r="B33" t="n">
        <v>2</v>
      </c>
      <c r="C33" t="inlineStr">
        <is>
          <t>B 시스템</t>
        </is>
      </c>
      <c r="D33" t="n">
        <v>1</v>
      </c>
      <c r="E33" t="inlineStr">
        <is>
          <t>T2</t>
        </is>
      </c>
      <c r="F33" t="inlineStr">
        <is>
          <t>순서·타이밍</t>
        </is>
      </c>
      <c r="G33" s="6">
        <f>VLOOKUP(E33,과제!$B:$D,3,FALSE)</f>
        <v/>
      </c>
      <c r="M33" s="6">
        <f>IF(L33="예","X",IF(I33="","",IF(AND(I33&gt;=VLOOKUP(E33,과제!$B:$G,6,FALSE)-5.0,I33&lt;=VLOOKUP(E33,과제!$B:$G,6,FALSE)+2.0),"O","X")))</f>
        <v/>
      </c>
    </row>
    <row r="34">
      <c r="A34" t="inlineStr">
        <is>
          <t>P06</t>
        </is>
      </c>
      <c r="B34" t="n">
        <v>3</v>
      </c>
      <c r="C34" t="inlineStr">
        <is>
          <t>B 시스템</t>
        </is>
      </c>
      <c r="D34" t="n">
        <v>1</v>
      </c>
      <c r="E34" t="inlineStr">
        <is>
          <t>T3</t>
        </is>
      </c>
      <c r="F34" t="inlineStr">
        <is>
          <t>시각적 상태</t>
        </is>
      </c>
      <c r="G34" s="6">
        <f>VLOOKUP(E34,과제!$B:$D,3,FALSE)</f>
        <v/>
      </c>
      <c r="M34" s="6">
        <f>IF(L34="예","X",IF(I34="","",IF(AND(I34&gt;=VLOOKUP(E34,과제!$B:$G,6,FALSE)-5.0,I34&lt;=VLOOKUP(E34,과제!$B:$G,6,FALSE)+2.0),"O","X")))</f>
        <v/>
      </c>
    </row>
    <row r="35">
      <c r="A35" t="inlineStr">
        <is>
          <t>P06</t>
        </is>
      </c>
      <c r="B35" t="n">
        <v>4</v>
      </c>
      <c r="C35" t="inlineStr">
        <is>
          <t>A 직접찾기</t>
        </is>
      </c>
      <c r="D35" t="n">
        <v>2</v>
      </c>
      <c r="E35" t="inlineStr">
        <is>
          <t>T4</t>
        </is>
      </c>
      <c r="F35" t="inlineStr">
        <is>
          <t>재료·분량</t>
        </is>
      </c>
      <c r="G35" s="6">
        <f>VLOOKUP(E35,과제!$B:$D,3,FALSE)</f>
        <v/>
      </c>
      <c r="M35" s="6">
        <f>IF(L35="예","X",IF(I35="","",IF(AND(I35&gt;=VLOOKUP(E35,과제!$B:$G,6,FALSE)-5.0,I35&lt;=VLOOKUP(E35,과제!$B:$G,6,FALSE)+2.0),"O","X")))</f>
        <v/>
      </c>
    </row>
    <row r="36">
      <c r="A36" t="inlineStr">
        <is>
          <t>P06</t>
        </is>
      </c>
      <c r="B36" t="n">
        <v>5</v>
      </c>
      <c r="C36" t="inlineStr">
        <is>
          <t>A 직접찾기</t>
        </is>
      </c>
      <c r="D36" t="n">
        <v>2</v>
      </c>
      <c r="E36" t="inlineStr">
        <is>
          <t>T5</t>
        </is>
      </c>
      <c r="F36" t="inlineStr">
        <is>
          <t>순서·타이밍</t>
        </is>
      </c>
      <c r="G36" s="6">
        <f>VLOOKUP(E36,과제!$B:$D,3,FALSE)</f>
        <v/>
      </c>
      <c r="M36" s="6">
        <f>IF(L36="예","X",IF(I36="","",IF(AND(I36&gt;=VLOOKUP(E36,과제!$B:$G,6,FALSE)-5.0,I36&lt;=VLOOKUP(E36,과제!$B:$G,6,FALSE)+2.0),"O","X")))</f>
        <v/>
      </c>
    </row>
    <row r="37">
      <c r="A37" t="inlineStr">
        <is>
          <t>P06</t>
        </is>
      </c>
      <c r="B37" t="n">
        <v>6</v>
      </c>
      <c r="C37" t="inlineStr">
        <is>
          <t>A 직접찾기</t>
        </is>
      </c>
      <c r="D37" t="n">
        <v>2</v>
      </c>
      <c r="E37" t="inlineStr">
        <is>
          <t>T6</t>
        </is>
      </c>
      <c r="F37" t="inlineStr">
        <is>
          <t>시각적 상태</t>
        </is>
      </c>
      <c r="G37" s="6">
        <f>VLOOKUP(E37,과제!$B:$D,3,FALSE)</f>
        <v/>
      </c>
      <c r="M37" s="6">
        <f>IF(L37="예","X",IF(I37="","",IF(AND(I37&gt;=VLOOKUP(E37,과제!$B:$G,6,FALSE)-5.0,I37&lt;=VLOOKUP(E37,과제!$B:$G,6,FALSE)+2.0),"O","X")))</f>
        <v/>
      </c>
    </row>
    <row r="38">
      <c r="A38" t="inlineStr">
        <is>
          <t>P07</t>
        </is>
      </c>
      <c r="B38" t="n">
        <v>1</v>
      </c>
      <c r="C38" t="inlineStr">
        <is>
          <t>A 직접찾기</t>
        </is>
      </c>
      <c r="D38" t="n">
        <v>2</v>
      </c>
      <c r="E38" t="inlineStr">
        <is>
          <t>T4</t>
        </is>
      </c>
      <c r="F38" t="inlineStr">
        <is>
          <t>재료·분량</t>
        </is>
      </c>
      <c r="G38" s="6">
        <f>VLOOKUP(E38,과제!$B:$D,3,FALSE)</f>
        <v/>
      </c>
      <c r="M38" s="6">
        <f>IF(L38="예","X",IF(I38="","",IF(AND(I38&gt;=VLOOKUP(E38,과제!$B:$G,6,FALSE)-5.0,I38&lt;=VLOOKUP(E38,과제!$B:$G,6,FALSE)+2.0),"O","X")))</f>
        <v/>
      </c>
    </row>
    <row r="39">
      <c r="A39" t="inlineStr">
        <is>
          <t>P07</t>
        </is>
      </c>
      <c r="B39" t="n">
        <v>2</v>
      </c>
      <c r="C39" t="inlineStr">
        <is>
          <t>A 직접찾기</t>
        </is>
      </c>
      <c r="D39" t="n">
        <v>2</v>
      </c>
      <c r="E39" t="inlineStr">
        <is>
          <t>T5</t>
        </is>
      </c>
      <c r="F39" t="inlineStr">
        <is>
          <t>순서·타이밍</t>
        </is>
      </c>
      <c r="G39" s="6">
        <f>VLOOKUP(E39,과제!$B:$D,3,FALSE)</f>
        <v/>
      </c>
      <c r="M39" s="6">
        <f>IF(L39="예","X",IF(I39="","",IF(AND(I39&gt;=VLOOKUP(E39,과제!$B:$G,6,FALSE)-5.0,I39&lt;=VLOOKUP(E39,과제!$B:$G,6,FALSE)+2.0),"O","X")))</f>
        <v/>
      </c>
    </row>
    <row r="40">
      <c r="A40" t="inlineStr">
        <is>
          <t>P07</t>
        </is>
      </c>
      <c r="B40" t="n">
        <v>3</v>
      </c>
      <c r="C40" t="inlineStr">
        <is>
          <t>A 직접찾기</t>
        </is>
      </c>
      <c r="D40" t="n">
        <v>2</v>
      </c>
      <c r="E40" t="inlineStr">
        <is>
          <t>T6</t>
        </is>
      </c>
      <c r="F40" t="inlineStr">
        <is>
          <t>시각적 상태</t>
        </is>
      </c>
      <c r="G40" s="6">
        <f>VLOOKUP(E40,과제!$B:$D,3,FALSE)</f>
        <v/>
      </c>
      <c r="M40" s="6">
        <f>IF(L40="예","X",IF(I40="","",IF(AND(I40&gt;=VLOOKUP(E40,과제!$B:$G,6,FALSE)-5.0,I40&lt;=VLOOKUP(E40,과제!$B:$G,6,FALSE)+2.0),"O","X")))</f>
        <v/>
      </c>
    </row>
    <row r="41">
      <c r="A41" t="inlineStr">
        <is>
          <t>P07</t>
        </is>
      </c>
      <c r="B41" t="n">
        <v>4</v>
      </c>
      <c r="C41" t="inlineStr">
        <is>
          <t>B 시스템</t>
        </is>
      </c>
      <c r="D41" t="n">
        <v>1</v>
      </c>
      <c r="E41" t="inlineStr">
        <is>
          <t>T1</t>
        </is>
      </c>
      <c r="F41" t="inlineStr">
        <is>
          <t>재료·분량</t>
        </is>
      </c>
      <c r="G41" s="6">
        <f>VLOOKUP(E41,과제!$B:$D,3,FALSE)</f>
        <v/>
      </c>
      <c r="M41" s="6">
        <f>IF(L41="예","X",IF(I41="","",IF(AND(I41&gt;=VLOOKUP(E41,과제!$B:$G,6,FALSE)-5.0,I41&lt;=VLOOKUP(E41,과제!$B:$G,6,FALSE)+2.0),"O","X")))</f>
        <v/>
      </c>
    </row>
    <row r="42">
      <c r="A42" t="inlineStr">
        <is>
          <t>P07</t>
        </is>
      </c>
      <c r="B42" t="n">
        <v>5</v>
      </c>
      <c r="C42" t="inlineStr">
        <is>
          <t>B 시스템</t>
        </is>
      </c>
      <c r="D42" t="n">
        <v>1</v>
      </c>
      <c r="E42" t="inlineStr">
        <is>
          <t>T2</t>
        </is>
      </c>
      <c r="F42" t="inlineStr">
        <is>
          <t>순서·타이밍</t>
        </is>
      </c>
      <c r="G42" s="6">
        <f>VLOOKUP(E42,과제!$B:$D,3,FALSE)</f>
        <v/>
      </c>
      <c r="M42" s="6">
        <f>IF(L42="예","X",IF(I42="","",IF(AND(I42&gt;=VLOOKUP(E42,과제!$B:$G,6,FALSE)-5.0,I42&lt;=VLOOKUP(E42,과제!$B:$G,6,FALSE)+2.0),"O","X")))</f>
        <v/>
      </c>
    </row>
    <row r="43">
      <c r="A43" t="inlineStr">
        <is>
          <t>P07</t>
        </is>
      </c>
      <c r="B43" t="n">
        <v>6</v>
      </c>
      <c r="C43" t="inlineStr">
        <is>
          <t>B 시스템</t>
        </is>
      </c>
      <c r="D43" t="n">
        <v>1</v>
      </c>
      <c r="E43" t="inlineStr">
        <is>
          <t>T3</t>
        </is>
      </c>
      <c r="F43" t="inlineStr">
        <is>
          <t>시각적 상태</t>
        </is>
      </c>
      <c r="G43" s="6">
        <f>VLOOKUP(E43,과제!$B:$D,3,FALSE)</f>
        <v/>
      </c>
      <c r="M43" s="6">
        <f>IF(L43="예","X",IF(I43="","",IF(AND(I43&gt;=VLOOKUP(E43,과제!$B:$G,6,FALSE)-5.0,I43&lt;=VLOOKUP(E43,과제!$B:$G,6,FALSE)+2.0),"O","X")))</f>
        <v/>
      </c>
    </row>
    <row r="44">
      <c r="A44" t="inlineStr">
        <is>
          <t>P08</t>
        </is>
      </c>
      <c r="B44" t="n">
        <v>1</v>
      </c>
      <c r="C44" t="inlineStr">
        <is>
          <t>B 시스템</t>
        </is>
      </c>
      <c r="D44" t="n">
        <v>2</v>
      </c>
      <c r="E44" t="inlineStr">
        <is>
          <t>T4</t>
        </is>
      </c>
      <c r="F44" t="inlineStr">
        <is>
          <t>재료·분량</t>
        </is>
      </c>
      <c r="G44" s="6">
        <f>VLOOKUP(E44,과제!$B:$D,3,FALSE)</f>
        <v/>
      </c>
      <c r="M44" s="6">
        <f>IF(L44="예","X",IF(I44="","",IF(AND(I44&gt;=VLOOKUP(E44,과제!$B:$G,6,FALSE)-5.0,I44&lt;=VLOOKUP(E44,과제!$B:$G,6,FALSE)+2.0),"O","X")))</f>
        <v/>
      </c>
    </row>
    <row r="45">
      <c r="A45" t="inlineStr">
        <is>
          <t>P08</t>
        </is>
      </c>
      <c r="B45" t="n">
        <v>2</v>
      </c>
      <c r="C45" t="inlineStr">
        <is>
          <t>B 시스템</t>
        </is>
      </c>
      <c r="D45" t="n">
        <v>2</v>
      </c>
      <c r="E45" t="inlineStr">
        <is>
          <t>T5</t>
        </is>
      </c>
      <c r="F45" t="inlineStr">
        <is>
          <t>순서·타이밍</t>
        </is>
      </c>
      <c r="G45" s="6">
        <f>VLOOKUP(E45,과제!$B:$D,3,FALSE)</f>
        <v/>
      </c>
      <c r="M45" s="6">
        <f>IF(L45="예","X",IF(I45="","",IF(AND(I45&gt;=VLOOKUP(E45,과제!$B:$G,6,FALSE)-5.0,I45&lt;=VLOOKUP(E45,과제!$B:$G,6,FALSE)+2.0),"O","X")))</f>
        <v/>
      </c>
    </row>
    <row r="46">
      <c r="A46" t="inlineStr">
        <is>
          <t>P08</t>
        </is>
      </c>
      <c r="B46" t="n">
        <v>3</v>
      </c>
      <c r="C46" t="inlineStr">
        <is>
          <t>B 시스템</t>
        </is>
      </c>
      <c r="D46" t="n">
        <v>2</v>
      </c>
      <c r="E46" t="inlineStr">
        <is>
          <t>T6</t>
        </is>
      </c>
      <c r="F46" t="inlineStr">
        <is>
          <t>시각적 상태</t>
        </is>
      </c>
      <c r="G46" s="6">
        <f>VLOOKUP(E46,과제!$B:$D,3,FALSE)</f>
        <v/>
      </c>
      <c r="M46" s="6">
        <f>IF(L46="예","X",IF(I46="","",IF(AND(I46&gt;=VLOOKUP(E46,과제!$B:$G,6,FALSE)-5.0,I46&lt;=VLOOKUP(E46,과제!$B:$G,6,FALSE)+2.0),"O","X")))</f>
        <v/>
      </c>
    </row>
    <row r="47">
      <c r="A47" t="inlineStr">
        <is>
          <t>P08</t>
        </is>
      </c>
      <c r="B47" t="n">
        <v>4</v>
      </c>
      <c r="C47" t="inlineStr">
        <is>
          <t>A 직접찾기</t>
        </is>
      </c>
      <c r="D47" t="n">
        <v>1</v>
      </c>
      <c r="E47" t="inlineStr">
        <is>
          <t>T1</t>
        </is>
      </c>
      <c r="F47" t="inlineStr">
        <is>
          <t>재료·분량</t>
        </is>
      </c>
      <c r="G47" s="6">
        <f>VLOOKUP(E47,과제!$B:$D,3,FALSE)</f>
        <v/>
      </c>
      <c r="M47" s="6">
        <f>IF(L47="예","X",IF(I47="","",IF(AND(I47&gt;=VLOOKUP(E47,과제!$B:$G,6,FALSE)-5.0,I47&lt;=VLOOKUP(E47,과제!$B:$G,6,FALSE)+2.0),"O","X")))</f>
        <v/>
      </c>
    </row>
    <row r="48">
      <c r="A48" t="inlineStr">
        <is>
          <t>P08</t>
        </is>
      </c>
      <c r="B48" t="n">
        <v>5</v>
      </c>
      <c r="C48" t="inlineStr">
        <is>
          <t>A 직접찾기</t>
        </is>
      </c>
      <c r="D48" t="n">
        <v>1</v>
      </c>
      <c r="E48" t="inlineStr">
        <is>
          <t>T2</t>
        </is>
      </c>
      <c r="F48" t="inlineStr">
        <is>
          <t>순서·타이밍</t>
        </is>
      </c>
      <c r="G48" s="6">
        <f>VLOOKUP(E48,과제!$B:$D,3,FALSE)</f>
        <v/>
      </c>
      <c r="M48" s="6">
        <f>IF(L48="예","X",IF(I48="","",IF(AND(I48&gt;=VLOOKUP(E48,과제!$B:$G,6,FALSE)-5.0,I48&lt;=VLOOKUP(E48,과제!$B:$G,6,FALSE)+2.0),"O","X")))</f>
        <v/>
      </c>
    </row>
    <row r="49">
      <c r="A49" t="inlineStr">
        <is>
          <t>P08</t>
        </is>
      </c>
      <c r="B49" t="n">
        <v>6</v>
      </c>
      <c r="C49" t="inlineStr">
        <is>
          <t>A 직접찾기</t>
        </is>
      </c>
      <c r="D49" t="n">
        <v>1</v>
      </c>
      <c r="E49" t="inlineStr">
        <is>
          <t>T3</t>
        </is>
      </c>
      <c r="F49" t="inlineStr">
        <is>
          <t>시각적 상태</t>
        </is>
      </c>
      <c r="G49" s="6">
        <f>VLOOKUP(E49,과제!$B:$D,3,FALSE)</f>
        <v/>
      </c>
      <c r="M49" s="6">
        <f>IF(L49="예","X",IF(I49="","",IF(AND(I49&gt;=VLOOKUP(E49,과제!$B:$G,6,FALSE)-5.0,I49&lt;=VLOOKUP(E49,과제!$B:$G,6,FALSE)+2.0),"O","X")))</f>
        <v/>
      </c>
    </row>
    <row r="50">
      <c r="A50" t="inlineStr">
        <is>
          <t>P09</t>
        </is>
      </c>
      <c r="B50" t="n">
        <v>1</v>
      </c>
      <c r="C50" t="inlineStr">
        <is>
          <t>A 직접찾기</t>
        </is>
      </c>
      <c r="D50" t="n">
        <v>1</v>
      </c>
      <c r="E50" t="inlineStr">
        <is>
          <t>T1</t>
        </is>
      </c>
      <c r="F50" t="inlineStr">
        <is>
          <t>재료·분량</t>
        </is>
      </c>
      <c r="G50" s="6">
        <f>VLOOKUP(E50,과제!$B:$D,3,FALSE)</f>
        <v/>
      </c>
      <c r="M50" s="6">
        <f>IF(L50="예","X",IF(I50="","",IF(AND(I50&gt;=VLOOKUP(E50,과제!$B:$G,6,FALSE)-5.0,I50&lt;=VLOOKUP(E50,과제!$B:$G,6,FALSE)+2.0),"O","X")))</f>
        <v/>
      </c>
    </row>
    <row r="51">
      <c r="A51" t="inlineStr">
        <is>
          <t>P09</t>
        </is>
      </c>
      <c r="B51" t="n">
        <v>2</v>
      </c>
      <c r="C51" t="inlineStr">
        <is>
          <t>A 직접찾기</t>
        </is>
      </c>
      <c r="D51" t="n">
        <v>1</v>
      </c>
      <c r="E51" t="inlineStr">
        <is>
          <t>T2</t>
        </is>
      </c>
      <c r="F51" t="inlineStr">
        <is>
          <t>순서·타이밍</t>
        </is>
      </c>
      <c r="G51" s="6">
        <f>VLOOKUP(E51,과제!$B:$D,3,FALSE)</f>
        <v/>
      </c>
      <c r="M51" s="6">
        <f>IF(L51="예","X",IF(I51="","",IF(AND(I51&gt;=VLOOKUP(E51,과제!$B:$G,6,FALSE)-5.0,I51&lt;=VLOOKUP(E51,과제!$B:$G,6,FALSE)+2.0),"O","X")))</f>
        <v/>
      </c>
    </row>
    <row r="52">
      <c r="A52" t="inlineStr">
        <is>
          <t>P09</t>
        </is>
      </c>
      <c r="B52" t="n">
        <v>3</v>
      </c>
      <c r="C52" t="inlineStr">
        <is>
          <t>A 직접찾기</t>
        </is>
      </c>
      <c r="D52" t="n">
        <v>1</v>
      </c>
      <c r="E52" t="inlineStr">
        <is>
          <t>T3</t>
        </is>
      </c>
      <c r="F52" t="inlineStr">
        <is>
          <t>시각적 상태</t>
        </is>
      </c>
      <c r="G52" s="6">
        <f>VLOOKUP(E52,과제!$B:$D,3,FALSE)</f>
        <v/>
      </c>
      <c r="M52" s="6">
        <f>IF(L52="예","X",IF(I52="","",IF(AND(I52&gt;=VLOOKUP(E52,과제!$B:$G,6,FALSE)-5.0,I52&lt;=VLOOKUP(E52,과제!$B:$G,6,FALSE)+2.0),"O","X")))</f>
        <v/>
      </c>
    </row>
    <row r="53">
      <c r="A53" t="inlineStr">
        <is>
          <t>P09</t>
        </is>
      </c>
      <c r="B53" t="n">
        <v>4</v>
      </c>
      <c r="C53" t="inlineStr">
        <is>
          <t>B 시스템</t>
        </is>
      </c>
      <c r="D53" t="n">
        <v>2</v>
      </c>
      <c r="E53" t="inlineStr">
        <is>
          <t>T4</t>
        </is>
      </c>
      <c r="F53" t="inlineStr">
        <is>
          <t>재료·분량</t>
        </is>
      </c>
      <c r="G53" s="6">
        <f>VLOOKUP(E53,과제!$B:$D,3,FALSE)</f>
        <v/>
      </c>
      <c r="M53" s="6">
        <f>IF(L53="예","X",IF(I53="","",IF(AND(I53&gt;=VLOOKUP(E53,과제!$B:$G,6,FALSE)-5.0,I53&lt;=VLOOKUP(E53,과제!$B:$G,6,FALSE)+2.0),"O","X")))</f>
        <v/>
      </c>
    </row>
    <row r="54">
      <c r="A54" t="inlineStr">
        <is>
          <t>P09</t>
        </is>
      </c>
      <c r="B54" t="n">
        <v>5</v>
      </c>
      <c r="C54" t="inlineStr">
        <is>
          <t>B 시스템</t>
        </is>
      </c>
      <c r="D54" t="n">
        <v>2</v>
      </c>
      <c r="E54" t="inlineStr">
        <is>
          <t>T5</t>
        </is>
      </c>
      <c r="F54" t="inlineStr">
        <is>
          <t>순서·타이밍</t>
        </is>
      </c>
      <c r="G54" s="6">
        <f>VLOOKUP(E54,과제!$B:$D,3,FALSE)</f>
        <v/>
      </c>
      <c r="M54" s="6">
        <f>IF(L54="예","X",IF(I54="","",IF(AND(I54&gt;=VLOOKUP(E54,과제!$B:$G,6,FALSE)-5.0,I54&lt;=VLOOKUP(E54,과제!$B:$G,6,FALSE)+2.0),"O","X")))</f>
        <v/>
      </c>
    </row>
    <row r="55">
      <c r="A55" t="inlineStr">
        <is>
          <t>P09</t>
        </is>
      </c>
      <c r="B55" t="n">
        <v>6</v>
      </c>
      <c r="C55" t="inlineStr">
        <is>
          <t>B 시스템</t>
        </is>
      </c>
      <c r="D55" t="n">
        <v>2</v>
      </c>
      <c r="E55" t="inlineStr">
        <is>
          <t>T6</t>
        </is>
      </c>
      <c r="F55" t="inlineStr">
        <is>
          <t>시각적 상태</t>
        </is>
      </c>
      <c r="G55" s="6">
        <f>VLOOKUP(E55,과제!$B:$D,3,FALSE)</f>
        <v/>
      </c>
      <c r="M55" s="6">
        <f>IF(L55="예","X",IF(I55="","",IF(AND(I55&gt;=VLOOKUP(E55,과제!$B:$G,6,FALSE)-5.0,I55&lt;=VLOOKUP(E55,과제!$B:$G,6,FALSE)+2.0),"O","X")))</f>
        <v/>
      </c>
    </row>
    <row r="56">
      <c r="A56" t="inlineStr">
        <is>
          <t>P10</t>
        </is>
      </c>
      <c r="B56" t="n">
        <v>1</v>
      </c>
      <c r="C56" t="inlineStr">
        <is>
          <t>B 시스템</t>
        </is>
      </c>
      <c r="D56" t="n">
        <v>1</v>
      </c>
      <c r="E56" t="inlineStr">
        <is>
          <t>T1</t>
        </is>
      </c>
      <c r="F56" t="inlineStr">
        <is>
          <t>재료·분량</t>
        </is>
      </c>
      <c r="G56" s="6">
        <f>VLOOKUP(E56,과제!$B:$D,3,FALSE)</f>
        <v/>
      </c>
      <c r="M56" s="6">
        <f>IF(L56="예","X",IF(I56="","",IF(AND(I56&gt;=VLOOKUP(E56,과제!$B:$G,6,FALSE)-5.0,I56&lt;=VLOOKUP(E56,과제!$B:$G,6,FALSE)+2.0),"O","X")))</f>
        <v/>
      </c>
    </row>
    <row r="57">
      <c r="A57" t="inlineStr">
        <is>
          <t>P10</t>
        </is>
      </c>
      <c r="B57" t="n">
        <v>2</v>
      </c>
      <c r="C57" t="inlineStr">
        <is>
          <t>B 시스템</t>
        </is>
      </c>
      <c r="D57" t="n">
        <v>1</v>
      </c>
      <c r="E57" t="inlineStr">
        <is>
          <t>T2</t>
        </is>
      </c>
      <c r="F57" t="inlineStr">
        <is>
          <t>순서·타이밍</t>
        </is>
      </c>
      <c r="G57" s="6">
        <f>VLOOKUP(E57,과제!$B:$D,3,FALSE)</f>
        <v/>
      </c>
      <c r="M57" s="6">
        <f>IF(L57="예","X",IF(I57="","",IF(AND(I57&gt;=VLOOKUP(E57,과제!$B:$G,6,FALSE)-5.0,I57&lt;=VLOOKUP(E57,과제!$B:$G,6,FALSE)+2.0),"O","X")))</f>
        <v/>
      </c>
    </row>
    <row r="58">
      <c r="A58" t="inlineStr">
        <is>
          <t>P10</t>
        </is>
      </c>
      <c r="B58" t="n">
        <v>3</v>
      </c>
      <c r="C58" t="inlineStr">
        <is>
          <t>B 시스템</t>
        </is>
      </c>
      <c r="D58" t="n">
        <v>1</v>
      </c>
      <c r="E58" t="inlineStr">
        <is>
          <t>T3</t>
        </is>
      </c>
      <c r="F58" t="inlineStr">
        <is>
          <t>시각적 상태</t>
        </is>
      </c>
      <c r="G58" s="6">
        <f>VLOOKUP(E58,과제!$B:$D,3,FALSE)</f>
        <v/>
      </c>
      <c r="M58" s="6">
        <f>IF(L58="예","X",IF(I58="","",IF(AND(I58&gt;=VLOOKUP(E58,과제!$B:$G,6,FALSE)-5.0,I58&lt;=VLOOKUP(E58,과제!$B:$G,6,FALSE)+2.0),"O","X")))</f>
        <v/>
      </c>
    </row>
    <row r="59">
      <c r="A59" t="inlineStr">
        <is>
          <t>P10</t>
        </is>
      </c>
      <c r="B59" t="n">
        <v>4</v>
      </c>
      <c r="C59" t="inlineStr">
        <is>
          <t>A 직접찾기</t>
        </is>
      </c>
      <c r="D59" t="n">
        <v>2</v>
      </c>
      <c r="E59" t="inlineStr">
        <is>
          <t>T4</t>
        </is>
      </c>
      <c r="F59" t="inlineStr">
        <is>
          <t>재료·분량</t>
        </is>
      </c>
      <c r="G59" s="6">
        <f>VLOOKUP(E59,과제!$B:$D,3,FALSE)</f>
        <v/>
      </c>
      <c r="M59" s="6">
        <f>IF(L59="예","X",IF(I59="","",IF(AND(I59&gt;=VLOOKUP(E59,과제!$B:$G,6,FALSE)-5.0,I59&lt;=VLOOKUP(E59,과제!$B:$G,6,FALSE)+2.0),"O","X")))</f>
        <v/>
      </c>
    </row>
    <row r="60">
      <c r="A60" t="inlineStr">
        <is>
          <t>P10</t>
        </is>
      </c>
      <c r="B60" t="n">
        <v>5</v>
      </c>
      <c r="C60" t="inlineStr">
        <is>
          <t>A 직접찾기</t>
        </is>
      </c>
      <c r="D60" t="n">
        <v>2</v>
      </c>
      <c r="E60" t="inlineStr">
        <is>
          <t>T5</t>
        </is>
      </c>
      <c r="F60" t="inlineStr">
        <is>
          <t>순서·타이밍</t>
        </is>
      </c>
      <c r="G60" s="6">
        <f>VLOOKUP(E60,과제!$B:$D,3,FALSE)</f>
        <v/>
      </c>
      <c r="M60" s="6">
        <f>IF(L60="예","X",IF(I60="","",IF(AND(I60&gt;=VLOOKUP(E60,과제!$B:$G,6,FALSE)-5.0,I60&lt;=VLOOKUP(E60,과제!$B:$G,6,FALSE)+2.0),"O","X")))</f>
        <v/>
      </c>
    </row>
    <row r="61">
      <c r="A61" t="inlineStr">
        <is>
          <t>P10</t>
        </is>
      </c>
      <c r="B61" t="n">
        <v>6</v>
      </c>
      <c r="C61" t="inlineStr">
        <is>
          <t>A 직접찾기</t>
        </is>
      </c>
      <c r="D61" t="n">
        <v>2</v>
      </c>
      <c r="E61" t="inlineStr">
        <is>
          <t>T6</t>
        </is>
      </c>
      <c r="F61" t="inlineStr">
        <is>
          <t>시각적 상태</t>
        </is>
      </c>
      <c r="G61" s="6">
        <f>VLOOKUP(E61,과제!$B:$D,3,FALSE)</f>
        <v/>
      </c>
      <c r="M61" s="6">
        <f>IF(L61="예","X",IF(I61="","",IF(AND(I61&gt;=VLOOKUP(E61,과제!$B:$G,6,FALSE)-5.0,I61&lt;=VLOOKUP(E61,과제!$B:$G,6,FALSE)+2.0),"O","X")))</f>
        <v/>
      </c>
    </row>
    <row r="63">
      <c r="A63" s="1" t="inlineStr">
        <is>
          <t>회색 칸(영상 제목·성공)은 수식입니다. 건드리지 마세요.</t>
        </is>
      </c>
    </row>
    <row r="64">
      <c r="A64" t="inlineStr">
        <is>
          <t>적을 것: 첫 질의문(B조건만) · 도달시점 · 소요시간 · 시도횟수 · 포기 · 메모</t>
        </is>
      </c>
    </row>
    <row r="65">
      <c r="A65" t="inlineStr">
        <is>
          <t>3분(180초)을 넘기면 포기=예 로 적고 소요시간은 180 로 둡니다.</t>
        </is>
      </c>
    </row>
    <row r="66">
      <c r="A66" t="inlineStr">
        <is>
          <t>A 조건에서는 첫 질의문을 비워 둡니다(검색을 안 쓰므로).</t>
        </is>
      </c>
    </row>
  </sheetData>
  <dataValidations count="1">
    <dataValidation sqref="L2:L61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6" customWidth="1" min="5" max="5"/>
    <col width="16" customWidth="1" min="6" max="6"/>
  </cols>
  <sheetData>
    <row r="1">
      <c r="A1" s="7" t="inlineStr">
        <is>
          <t>조건별 — 주지표</t>
        </is>
      </c>
    </row>
    <row r="2">
      <c r="A2" s="4" t="inlineStr">
        <is>
          <t>조건</t>
        </is>
      </c>
      <c r="B2" s="4" t="inlineStr">
        <is>
          <t>과제 수</t>
        </is>
      </c>
      <c r="C2" s="4" t="inlineStr">
        <is>
          <t>성공</t>
        </is>
      </c>
      <c r="D2" s="4" t="inlineStr">
        <is>
          <t>성공률</t>
        </is>
      </c>
      <c r="E2" s="4" t="inlineStr">
        <is>
          <t>성공 과제 평균 시간(초)</t>
        </is>
      </c>
      <c r="F2" s="4" t="inlineStr">
        <is>
          <t>평균 시도횟수</t>
        </is>
      </c>
    </row>
    <row r="3">
      <c r="A3" t="inlineStr">
        <is>
          <t>A 직접찾기</t>
        </is>
      </c>
      <c r="B3">
        <f>COUNTIF(기록!$C$2:$C$61,A3)</f>
        <v/>
      </c>
      <c r="C3">
        <f>COUNTIFS(기록!$C$2:$C$61,A3,기록!$M$2:$M$61,"O")</f>
        <v/>
      </c>
      <c r="D3" s="8">
        <f>IF(B3=0,"",C3/B3)</f>
        <v/>
      </c>
      <c r="E3" s="9">
        <f>IFERROR(AVERAGEIFS(기록!$J$2:$J$61,기록!$C$2:$C$61,A3,기록!$M$2:$M$61,"O"),"")</f>
        <v/>
      </c>
      <c r="F3" s="9">
        <f>IFERROR(AVERAGEIFS(기록!$K$2:$K$61,기록!$C$2:$C$61,A3),"")</f>
        <v/>
      </c>
    </row>
    <row r="4">
      <c r="A4" t="inlineStr">
        <is>
          <t>B 시스템</t>
        </is>
      </c>
      <c r="B4">
        <f>COUNTIF(기록!$C$2:$C$61,A4)</f>
        <v/>
      </c>
      <c r="C4">
        <f>COUNTIFS(기록!$C$2:$C$61,A4,기록!$M$2:$M$61,"O")</f>
        <v/>
      </c>
      <c r="D4" s="8">
        <f>IF(B4=0,"",C4/B4)</f>
        <v/>
      </c>
      <c r="E4" s="9">
        <f>IFERROR(AVERAGEIFS(기록!$J$2:$J$61,기록!$C$2:$C$61,A4,기록!$M$2:$M$61,"O"),"")</f>
        <v/>
      </c>
      <c r="F4" s="9">
        <f>IFERROR(AVERAGEIFS(기록!$K$2:$K$61,기록!$C$2:$C$61,A4),"")</f>
        <v/>
      </c>
    </row>
    <row r="6">
      <c r="A6" s="7" t="inlineStr">
        <is>
          <t>유형별</t>
        </is>
      </c>
    </row>
    <row r="7">
      <c r="A7" s="4" t="inlineStr">
        <is>
          <t>유형</t>
        </is>
      </c>
      <c r="B7" s="4" t="inlineStr">
        <is>
          <t>A 성공률</t>
        </is>
      </c>
      <c r="C7" s="4" t="inlineStr">
        <is>
          <t>B 성공률</t>
        </is>
      </c>
      <c r="D7" s="4" t="inlineStr">
        <is>
          <t>A 평균시간</t>
        </is>
      </c>
      <c r="E7" s="4" t="inlineStr">
        <is>
          <t>B 평균시간</t>
        </is>
      </c>
    </row>
    <row r="8">
      <c r="A8" t="inlineStr">
        <is>
          <t>재료·분량</t>
        </is>
      </c>
      <c r="B8" s="8">
        <f>IF(COUNTIFS(기록!$C$2:$C$61,"A 직접찾기",기록!$F$2:$F$61,A8)=0,"",COUNTIFS(기록!$C$2:$C$61,"A 직접찾기",기록!$F$2:$F$61,A8,기록!$M$2:$M$61,"O")/COUNTIFS(기록!$C$2:$C$61,"A 직접찾기",기록!$F$2:$F$61,A8))</f>
        <v/>
      </c>
      <c r="C8" s="8">
        <f>IF(COUNTIFS(기록!$C$2:$C$61,"B 시스템",기록!$F$2:$F$61,A8)=0,"",COUNTIFS(기록!$C$2:$C$61,"B 시스템",기록!$F$2:$F$61,A8,기록!$M$2:$M$61,"O")/COUNTIFS(기록!$C$2:$C$61,"B 시스템",기록!$F$2:$F$61,A8))</f>
        <v/>
      </c>
      <c r="D8" s="9">
        <f>IFERROR(AVERAGEIFS(기록!$J$2:$J$61,기록!$C$2:$C$61,"A 직접찾기",기록!$F$2:$F$61,A8,기록!$M$2:$M$61,"O"),"")</f>
        <v/>
      </c>
      <c r="E8" s="9">
        <f>IFERROR(AVERAGEIFS(기록!$J$2:$J$61,기록!$C$2:$C$61,"B 시스템",기록!$F$2:$F$61,A8,기록!$M$2:$M$61,"O"),"")</f>
        <v/>
      </c>
    </row>
    <row r="9">
      <c r="A9" t="inlineStr">
        <is>
          <t>순서·타이밍</t>
        </is>
      </c>
      <c r="B9" s="8">
        <f>IF(COUNTIFS(기록!$C$2:$C$61,"A 직접찾기",기록!$F$2:$F$61,A9)=0,"",COUNTIFS(기록!$C$2:$C$61,"A 직접찾기",기록!$F$2:$F$61,A9,기록!$M$2:$M$61,"O")/COUNTIFS(기록!$C$2:$C$61,"A 직접찾기",기록!$F$2:$F$61,A9))</f>
        <v/>
      </c>
      <c r="C9" s="8">
        <f>IF(COUNTIFS(기록!$C$2:$C$61,"B 시스템",기록!$F$2:$F$61,A9)=0,"",COUNTIFS(기록!$C$2:$C$61,"B 시스템",기록!$F$2:$F$61,A9,기록!$M$2:$M$61,"O")/COUNTIFS(기록!$C$2:$C$61,"B 시스템",기록!$F$2:$F$61,A9))</f>
        <v/>
      </c>
      <c r="D9" s="9">
        <f>IFERROR(AVERAGEIFS(기록!$J$2:$J$61,기록!$C$2:$C$61,"A 직접찾기",기록!$F$2:$F$61,A9,기록!$M$2:$M$61,"O"),"")</f>
        <v/>
      </c>
      <c r="E9" s="9">
        <f>IFERROR(AVERAGEIFS(기록!$J$2:$J$61,기록!$C$2:$C$61,"B 시스템",기록!$F$2:$F$61,A9,기록!$M$2:$M$61,"O"),"")</f>
        <v/>
      </c>
    </row>
    <row r="10">
      <c r="A10" t="inlineStr">
        <is>
          <t>시각적 상태</t>
        </is>
      </c>
      <c r="B10" s="8">
        <f>IF(COUNTIFS(기록!$C$2:$C$61,"A 직접찾기",기록!$F$2:$F$61,A10)=0,"",COUNTIFS(기록!$C$2:$C$61,"A 직접찾기",기록!$F$2:$F$61,A10,기록!$M$2:$M$61,"O")/COUNTIFS(기록!$C$2:$C$61,"A 직접찾기",기록!$F$2:$F$61,A10))</f>
        <v/>
      </c>
      <c r="C10" s="8">
        <f>IF(COUNTIFS(기록!$C$2:$C$61,"B 시스템",기록!$F$2:$F$61,A10)=0,"",COUNTIFS(기록!$C$2:$C$61,"B 시스템",기록!$F$2:$F$61,A10,기록!$M$2:$M$61,"O")/COUNTIFS(기록!$C$2:$C$61,"B 시스템",기록!$F$2:$F$61,A10))</f>
        <v/>
      </c>
      <c r="D10" s="9">
        <f>IFERROR(AVERAGEIFS(기록!$J$2:$J$61,기록!$C$2:$C$61,"A 직접찾기",기록!$F$2:$F$61,A10,기록!$M$2:$M$61,"O"),"")</f>
        <v/>
      </c>
      <c r="E10" s="9">
        <f>IFERROR(AVERAGEIFS(기록!$J$2:$J$61,기록!$C$2:$C$61,"B 시스템",기록!$F$2:$F$61,A10,기록!$M$2:$M$61,"O"),"")</f>
        <v/>
      </c>
    </row>
    <row r="12">
      <c r="A12" s="7" t="inlineStr">
        <is>
          <t>해석할 때 지킬 것</t>
        </is>
      </c>
    </row>
    <row r="13">
      <c r="A13" t="inlineStr">
        <is>
          <t>· n=10 입니다. 조건당 30과제뿐이라 "유의하게 높다" 는 쓰지 마세요. "73% 대 90% 였다" 까지만 씁니다.</t>
        </is>
      </c>
    </row>
    <row r="14">
      <c r="A14" t="inlineStr">
        <is>
          <t>· 시간은 성공한 과제만 평균 냅니다. 실패 건수는 따로 밝히세요.</t>
        </is>
      </c>
    </row>
    <row r="15">
      <c r="A15" t="inlineStr">
        <is>
          <t>· 참가자가 친 첫 질의문은 실제 사용자 말투라, 다음 평가셋 질문으로 쓸 수 있습니다.</t>
        </is>
      </c>
    </row>
    <row r="16">
      <c r="A16" t="inlineStr">
        <is>
          <t>· 불편 의견은 인용만 하고 세지 마세요(만족도 설문을 하지 말라는 것이 자문의 취지입니다).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2026-10-21T00:03:02Z</dcterms:created>
  <dcterms:modified xmlns:dcterms="http://purl.org/dc/terms/" xmlns:xsi="http://www.w3.org/2001/XMLSchema-instance" xsi:type="dcterms:W3CDTF">2026-10-21T00:03:02Z</dcterms:modified>
</cp:coreProperties>
</file>